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ables/table8.xml" ContentType="application/vnd.openxmlformats-officedocument.spreadsheetml.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2.xml" ContentType="application/vnd.openxmlformats-officedocument.spreadsheetml.table+xml"/>
  <Override PartName="/xl/worksheets/sheet12.xml" ContentType="application/vnd.openxmlformats-officedocument.spreadsheetml.worksheet+xml"/>
  <Override PartName="/docProps/app.xml" ContentType="application/vnd.openxmlformats-officedocument.extended-properties+xml"/>
  <Override PartName="/xl/tables/table10.xml" ContentType="application/vnd.openxmlformats-officedocument.spreadsheetml.table+xml"/>
  <Override PartName="/xl/tables/table6.xml" ContentType="application/vnd.openxmlformats-officedocument.spreadsheetml.table+xml"/>
  <Override PartName="/xl/tables/table1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  <Override PartName="/xl/worksheets/sheet14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1"/>
  </bookViews>
  <sheets>
    <sheet name="0_开始这里" sheetId="1" state="visible" r:id="rId1"/>
    <sheet name="1_子语料清单" sheetId="2" state="visible" r:id="rId2"/>
    <sheet name="2_熟悉材料" sheetId="3" state="visible" r:id="rId3"/>
    <sheet name="3_开放代码登记" sheetId="4" state="visible" r:id="rId4"/>
    <sheet name="4_代码应用" sheetId="5" state="visible" r:id="rId5"/>
    <sheet name="5_主题登记" sheetId="6" state="visible" r:id="rId6"/>
    <sheet name="6_主题证据映射" sheetId="7" state="visible" r:id="rId7"/>
    <sheet name="7_主题复核" sheetId="8" state="visible" r:id="rId8"/>
    <sheet name="8_反思备忘录" sheetId="9" state="visible" r:id="rId9"/>
    <sheet name="9_决策日志" sheetId="10" state="visible" r:id="rId10"/>
    <sheet name="10_人工智能协助日志" sheetId="11" state="visible" r:id="rId11"/>
    <sheet name="11_字段字典" sheetId="12" state="visible" r:id="rId12"/>
    <sheet name="12_合成示例" sheetId="13" state="visible" r:id="rId13"/>
    <sheet name="13_质量检查" sheetId="14" state="visible" r:id="rId1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<sst xmlns="http://schemas.openxmlformats.org/spreadsheetml/2006/main" count="524" uniqueCount="524">
  <si>
    <t>青岛旅游UGC：主题分析试编码记录模板</t>
  </si>
  <si>
    <t xml:space="preserve">试编码模板 · 尚未冻结 · 不含真实用户生成内容（UGC） · 不能据此声称已完成主题分析</t>
  </si>
  <si>
    <t>这不是第二份0/1编码表。现有V1/V2/V3/V5等继续承担全样本结构化测量；本工作簿只在主题子语料中记录完整阅读、开放代码、代码应用、候选主题、反例与解释主张。</t>
  </si>
  <si>
    <t>先填这5张核心表</t>
  </si>
  <si>
    <t>顺序</t>
  </si>
  <si>
    <t>工作表</t>
  </si>
  <si>
    <t>何时填</t>
  </si>
  <si>
    <t>一行是什么</t>
  </si>
  <si>
    <t>产出</t>
  </si>
  <si>
    <t>关键规则</t>
  </si>
  <si>
    <t>全帖语境</t>
  </si>
  <si>
    <t>备注</t>
  </si>
  <si>
    <t>1_子语料清单</t>
  </si>
  <si>
    <t>分析前</t>
  </si>
  <si>
    <t>一篇纳入/排除记录</t>
  </si>
  <si>
    <t>试编码边界</t>
  </si>
  <si>
    <t>概率核心与目的性补充分开</t>
  </si>
  <si>
    <t>需要</t>
  </si>
  <si>
    <t>先不追求正式样本量</t>
  </si>
  <si>
    <t>2_熟悉材料</t>
  </si>
  <si>
    <t>完整阅读后</t>
  </si>
  <si>
    <t>研究者×帖子的一次备忘录</t>
  </si>
  <si>
    <t>初印象、张力、预期</t>
  </si>
  <si>
    <t>不得只看片段或标签</t>
  </si>
  <si>
    <t>先理解再编码</t>
  </si>
  <si>
    <t>3_开放代码登记</t>
  </si>
  <si>
    <t>出现可复用意义时</t>
  </si>
  <si>
    <t>一个代码的当前定义</t>
  </si>
  <si>
    <t>名称、边界、例证</t>
  </si>
  <si>
    <t>代码捕捉单一意义</t>
  </si>
  <si>
    <t>回看</t>
  </si>
  <si>
    <t>理论和数据驱动均可</t>
  </si>
  <si>
    <t>4_代码应用</t>
  </si>
  <si>
    <t>把代码用于证据时</t>
  </si>
  <si>
    <t>一次代码应用</t>
  </si>
  <si>
    <t>证据—代码—语境链</t>
  </si>
  <si>
    <t>没有记录不等于0</t>
  </si>
  <si>
    <t>可跨固定片段ID（seg_id）</t>
  </si>
  <si>
    <t>5_主题登记</t>
  </si>
  <si>
    <t>多个代码形成模式后</t>
  </si>
  <si>
    <t>一个主题的当前版本</t>
  </si>
  <si>
    <t>核心概念、分析主张</t>
  </si>
  <si>
    <t>话题名和高频代码不自动等于主题</t>
  </si>
  <si>
    <t>必须回到全子语料</t>
  </si>
  <si>
    <t>标记为“保留”前需复核</t>
  </si>
  <si>
    <t>建议第一次试运行（方法调试，不是正式样本量结论）</t>
  </si>
  <si>
    <t>1</t>
  </si>
  <si>
    <t>核心试编码</t>
  </si>
  <si>
    <t>30篇：5个平台×每平台3篇KOL+3篇KOC；不足时记录替代规则。</t>
  </si>
  <si>
    <t>2</t>
  </si>
  <si>
    <t>研究者安排</t>
  </si>
  <si>
    <t>共同阅读6篇做熟悉与边界校准；其余24篇可分工，但每个候选主题须由另一人挑战性复核。</t>
  </si>
  <si>
    <t>3</t>
  </si>
  <si>
    <t>目的性补充</t>
  </si>
  <si>
    <t>初轮后可补5—10篇反例、边界案例或缺失平台/媒体类型，并将抽样路径标为“目的性补充”。</t>
  </si>
  <si>
    <t>4</t>
  </si>
  <si>
    <t>停止判断</t>
  </si>
  <si>
    <t>完成预先界定子语料，检查RQ可回答性、主题连贯、反例与团队能力；不机械宣布饱和。</t>
  </si>
  <si>
    <t>候选RQ-T（试用，可在试编码后修订）</t>
  </si>
  <si>
    <t>青岛旅游UGC中，创作者如何将目的地资源、体验评价与受众召唤组织为共享意义模式？这些模式在平台及KOL/KOC之间呈现哪些差异、张力与反例？</t>
  </si>
  <si>
    <t>两条轨道如何分工</t>
  </si>
  <si>
    <t>比较项</t>
  </si>
  <si>
    <t>结构化内容编码主轨</t>
  </si>
  <si>
    <t>主题分析解释轨</t>
  </si>
  <si>
    <t>记录单位</t>
  </si>
  <si>
    <t>每个片段的固定字段值</t>
  </si>
  <si>
    <t>每次开放代码应用与解释记录</t>
  </si>
  <si>
    <t>未记录</t>
  </si>
  <si>
    <t>按冻结契约可为0/不适用/无法判定</t>
  </si>
  <si>
    <t>未应用记录，不等于已经检查并判为0</t>
  </si>
  <si>
    <t>语境</t>
  </si>
  <si>
    <t>固定片段ID（seg_id）或单图</t>
  </si>
  <si>
    <t>完整帖子；证据可跨多个固定片段ID</t>
  </si>
  <si>
    <t>质量</t>
  </si>
  <si>
    <t xml:space="preserve">Krippendorff α、Cohen κ、模型F1、锁定测试</t>
  </si>
  <si>
    <t>语料契合、边界、反例、反思透明度、同侪质询</t>
  </si>
  <si>
    <t>输出</t>
  </si>
  <si>
    <t>频率、差异、监督标签</t>
  </si>
  <si>
    <t>共享意义模式、分析主张与解释叙事</t>
  </si>
  <si>
    <t>关系</t>
  </si>
  <si>
    <t>V类代码可提示回看材料</t>
  </si>
  <si>
    <t>主题不能由频数、显著性或模型聚类机械生成</t>
  </si>
  <si>
    <t>方法与项目依据</t>
  </si>
  <si>
    <t>项目方法审计</t>
  </si>
  <si>
    <t>/Users/a123/Desktop/david/tourism-ugc-study/docs/methods/主题分析法编码表设计审计与实施说明.md</t>
  </si>
  <si>
    <t>项目方法决策</t>
  </si>
  <si>
    <t>/Users/a123/Desktop/david/tourism-ugc-study/docs/decisions/2026-08-13-主题分析轨方法定位与编码表升级决策.md</t>
  </si>
  <si>
    <t>混合演绎—归纳方法</t>
  </si>
  <si>
    <t>https://doi.org/10.1177/160940690600500107</t>
  </si>
  <si>
    <t>主题分析类型与质量一致性</t>
  </si>
  <si>
    <t>https://doi.org/10.1080/14780887.2020.1769238</t>
  </si>
  <si>
    <t>隐私与AI红线</t>
  </si>
  <si>
    <t>•</t>
  </si>
  <si>
    <t>模板不含真实UGC、作者标识、主页或访问令牌；实际证据只用受控ID/私有路径回指。</t>
  </si>
  <si>
    <t>未经授权，不把未公开语料、私有备注或完整子语料发送给外部模型/API。</t>
  </si>
  <si>
    <t>人工智能只能辅助检索、整理或提出候选关系；最终代码ID、主题ID和解释主张由研究者决定。</t>
  </si>
  <si>
    <t>使用人工智能时必须填写10_人工智能协助日志，并抽审未被建议的材料。</t>
  </si>
  <si>
    <t xml:space="preserve">技术标识保留原文：KOL/KOC、V类代码、ID、SHA-256、ISO 8601、RQ-T、F1和API。</t>
  </si>
  <si>
    <t>子语料记录ID</t>
  </si>
  <si>
    <t>帖子ID</t>
  </si>
  <si>
    <t>平台</t>
  </si>
  <si>
    <t>创作者组</t>
  </si>
  <si>
    <t>创作者层级</t>
  </si>
  <si>
    <t>抽样路径</t>
  </si>
  <si>
    <t>抽样层</t>
  </si>
  <si>
    <t>纳入状态</t>
  </si>
  <si>
    <t>纳入/排除理由</t>
  </si>
  <si>
    <t>来源文本版本</t>
  </si>
  <si>
    <t>内容哈希</t>
  </si>
  <si>
    <t>语境可用性</t>
  </si>
  <si>
    <t>受控原文引用</t>
  </si>
  <si>
    <t>子语料版本</t>
  </si>
  <si>
    <t>自动质检</t>
  </si>
  <si>
    <t>熟悉材料备忘录ID</t>
  </si>
  <si>
    <t>研究者匿名ID</t>
  </si>
  <si>
    <t>是否完整阅读</t>
  </si>
  <si>
    <t>是否检查完整语境</t>
  </si>
  <si>
    <t>整体初印象</t>
  </si>
  <si>
    <t>反复出现的意义</t>
  </si>
  <si>
    <t>意外、矛盾与张力</t>
  </si>
  <si>
    <t>平台语境</t>
  </si>
  <si>
    <t>创作者文本定位</t>
  </si>
  <si>
    <t>图文关系</t>
  </si>
  <si>
    <t>研究者原有预期</t>
  </si>
  <si>
    <t>后续追问</t>
  </si>
  <si>
    <t>备忘录版本</t>
  </si>
  <si>
    <t>记录时间</t>
  </si>
  <si>
    <t>开放代码ID</t>
  </si>
  <si>
    <t>代码名称</t>
  </si>
  <si>
    <t>简要定义</t>
  </si>
  <si>
    <t>代码来源</t>
  </si>
  <si>
    <t>分析层次</t>
  </si>
  <si>
    <t>纳入标准</t>
  </si>
  <si>
    <t>排除标准</t>
  </si>
  <si>
    <t>正例说明</t>
  </si>
  <si>
    <t>反例/近邻说明</t>
  </si>
  <si>
    <t>相关V类代码</t>
  </si>
  <si>
    <t>代码状态</t>
  </si>
  <si>
    <t>父代码ID</t>
  </si>
  <si>
    <t>替代代码ID</t>
  </si>
  <si>
    <t>代码版本</t>
  </si>
  <si>
    <t>决策日志ID</t>
  </si>
  <si>
    <t>创建者匿名ID</t>
  </si>
  <si>
    <t>创建/更新时间</t>
  </si>
  <si>
    <t>代码应用ID</t>
  </si>
  <si>
    <t>证据片段ID</t>
  </si>
  <si>
    <t>受控证据引用</t>
  </si>
  <si>
    <t>起始偏移量</t>
  </si>
  <si>
    <t>结束偏移量</t>
  </si>
  <si>
    <t>证据文本哈希</t>
  </si>
  <si>
    <t>必要语境</t>
  </si>
  <si>
    <t>分析备忘录</t>
  </si>
  <si>
    <t>替代解释</t>
  </si>
  <si>
    <t>反例线索</t>
  </si>
  <si>
    <t>解释成熟度</t>
  </si>
  <si>
    <t>应用时间</t>
  </si>
  <si>
    <t>主题ID</t>
  </si>
  <si>
    <t>主题名称</t>
  </si>
  <si>
    <t>主题状态</t>
  </si>
  <si>
    <t>核心组织概念</t>
  </si>
  <si>
    <t>分析主张</t>
  </si>
  <si>
    <t>关联研究问题</t>
  </si>
  <si>
    <t>纳入边界</t>
  </si>
  <si>
    <t>排除边界</t>
  </si>
  <si>
    <t>与其他主题边界</t>
  </si>
  <si>
    <t>分组模式备注</t>
  </si>
  <si>
    <t>反例检索状态</t>
  </si>
  <si>
    <t>全子语料复核</t>
  </si>
  <si>
    <t>主题版本</t>
  </si>
  <si>
    <t>替代的主题ID</t>
  </si>
  <si>
    <t>主题负责人匿名ID</t>
  </si>
  <si>
    <t>更新时间</t>
  </si>
  <si>
    <t>支持链接数</t>
  </si>
  <si>
    <t>反例链接数</t>
  </si>
  <si>
    <t>映射ID</t>
  </si>
  <si>
    <t>与主题关系</t>
  </si>
  <si>
    <t>连接理由</t>
  </si>
  <si>
    <t>映射者匿名ID</t>
  </si>
  <si>
    <t>映射时间</t>
  </si>
  <si>
    <t>复核ID</t>
  </si>
  <si>
    <t>复核者匿名ID</t>
  </si>
  <si>
    <t>复核范围</t>
  </si>
  <si>
    <t>主题内连贯性</t>
  </si>
  <si>
    <t>全子语料契合</t>
  </si>
  <si>
    <t>主题间区分度</t>
  </si>
  <si>
    <t>边界清晰度</t>
  </si>
  <si>
    <t>反例处理</t>
  </si>
  <si>
    <t>分组检查</t>
  </si>
  <si>
    <t>竞争解释</t>
  </si>
  <si>
    <t>复核决定</t>
  </si>
  <si>
    <t>所需行动</t>
  </si>
  <si>
    <t>复核时间</t>
  </si>
  <si>
    <t>反思备忘录ID</t>
  </si>
  <si>
    <t>分析阶段</t>
  </si>
  <si>
    <t>关联对象类型</t>
  </si>
  <si>
    <t>关联对象ID</t>
  </si>
  <si>
    <t>立场或既有预期</t>
  </si>
  <si>
    <t>可能造成的影响</t>
  </si>
  <si>
    <t>挑战判断的证据</t>
  </si>
  <si>
    <t>采取的行动</t>
  </si>
  <si>
    <t>同侪讨论引用</t>
  </si>
  <si>
    <t>决策ID</t>
  </si>
  <si>
    <t>对象类型</t>
  </si>
  <si>
    <t>对象ID</t>
  </si>
  <si>
    <t>决策类型</t>
  </si>
  <si>
    <t>决策状态</t>
  </si>
  <si>
    <t>变更前版本</t>
  </si>
  <si>
    <t>变更后版本</t>
  </si>
  <si>
    <t>决策理由</t>
  </si>
  <si>
    <t>证据引用</t>
  </si>
  <si>
    <t>考虑的替代方案</t>
  </si>
  <si>
    <t>决策者匿名ID</t>
  </si>
  <si>
    <t>决策时间</t>
  </si>
  <si>
    <t>人工智能协助记录ID</t>
  </si>
  <si>
    <t>输入范围类型</t>
  </si>
  <si>
    <t>输入对象ID</t>
  </si>
  <si>
    <t>工具/模型版本</t>
  </si>
  <si>
    <t>人工智能任务</t>
  </si>
  <si>
    <t>建议摘要</t>
  </si>
  <si>
    <t>人工决定</t>
  </si>
  <si>
    <t>人工决定理由</t>
  </si>
  <si>
    <t>人工复核者匿名ID</t>
  </si>
  <si>
    <t>漏检抽审范围</t>
  </si>
  <si>
    <t>漏检抽审结果</t>
  </si>
  <si>
    <t>隐私检查</t>
  </si>
  <si>
    <t>使用中时</t>
  </si>
  <si>
    <t>自由文本</t>
  </si>
  <si>
    <t>说明何时应用。</t>
  </si>
  <si>
    <t>说明相近但不适用的情况。</t>
  </si>
  <si>
    <t>释义/受控引用</t>
  </si>
  <si>
    <t>避免复制原始用户生成内容（UGC）。</t>
  </si>
  <si>
    <t>用于区分近邻代码。</t>
  </si>
  <si>
    <t>保留时</t>
  </si>
  <si>
    <t>说明属于本主题的意义。</t>
  </si>
  <si>
    <t>说明相近但不属于本主题的内容。</t>
  </si>
  <si>
    <t>未开始｜已检索未发现｜已发现并处理</t>
  </si>
  <si>
    <t>必须主动检索反例。</t>
  </si>
  <si>
    <t>未开始｜进行中｜已完成</t>
  </si>
  <si>
    <t>必须回到冻结子语料复核。</t>
  </si>
  <si>
    <t>公式</t>
  </si>
  <si>
    <t>正常｜需补充</t>
  </si>
  <si>
    <t>仅检查必填字段。</t>
  </si>
  <si>
    <t>正常｜需补充｜需复核</t>
  </si>
  <si>
    <t>未完整阅读会触发复核。</t>
  </si>
  <si>
    <t>使用中缺边界或例证会触发复核。</t>
  </si>
  <si>
    <t>正常｜需补充｜试用正常/偏移量待冻结</t>
  </si>
  <si>
    <t>偏移量待冻结不阻止试用，但阻止正式执行。</t>
  </si>
  <si>
    <t>派生计数</t>
  </si>
  <si>
    <t>频次不是重要性门槛。</t>
  </si>
  <si>
    <t>提醒反例处理，不设机械阈值。</t>
  </si>
  <si>
    <t>保留需边界、反例检索、全语料复核和支持证据。</t>
  </si>
  <si>
    <t>6_主题证据映射</t>
  </si>
  <si>
    <t>检查可追溯字段。</t>
  </si>
  <si>
    <t>7_主题复核</t>
  </si>
  <si>
    <t>正常｜需补充｜需修订｜需处理</t>
  </si>
  <si>
    <t>未通过优先于需修订。</t>
  </si>
  <si>
    <t>8_反思备忘录</t>
  </si>
  <si>
    <t>检查反思链完整性。</t>
  </si>
  <si>
    <t>9_决策日志</t>
  </si>
  <si>
    <t>已关闭必须有后版本和完整理由。</t>
  </si>
  <si>
    <t>10_人工智能协助日志</t>
  </si>
  <si>
    <t>正常｜需补充｜禁止使用</t>
  </si>
  <si>
    <t>未通过标记禁止使用。</t>
  </si>
  <si>
    <t>合并/拆分时</t>
  </si>
  <si>
    <t>ID列表</t>
  </si>
  <si>
    <t>保留代码谱系。</t>
  </si>
  <si>
    <t>保留主题谱系。</t>
  </si>
  <si>
    <t>否</t>
  </si>
  <si>
    <t>如平台×创作者组×媒体类型。</t>
  </si>
  <si>
    <t>私有路径/受控ID</t>
  </si>
  <si>
    <t>不得粘贴真实用户生成内容（UGC）。</t>
  </si>
  <si>
    <t>记录异常与缺失语境。</t>
  </si>
  <si>
    <t>记录反复出现的说法、价值与关系。</t>
  </si>
  <si>
    <t>主动寻找不符合预期的内容。</t>
  </si>
  <si>
    <t>记录体裁、互动与商业语境。</t>
  </si>
  <si>
    <t>只描述可观察定位，不推断真实动机。</t>
  </si>
  <si>
    <t>记录强化、补充或矛盾关系。</t>
  </si>
  <si>
    <t>记录需在其他材料继续寻找的问题。</t>
  </si>
  <si>
    <t>V类代码是敏化概念，不是主题。</t>
  </si>
  <si>
    <t>ID</t>
  </si>
  <si>
    <t>只在确有层级时使用。</t>
  </si>
  <si>
    <t>少量案例不得作定论。</t>
  </si>
  <si>
    <t>受控引用/释义</t>
  </si>
  <si>
    <t>记录改变判断的材料。</t>
  </si>
  <si>
    <t>连接纪要或决策日志。</t>
  </si>
  <si>
    <t>版本号</t>
  </si>
  <si>
    <t>首次创建可空。</t>
  </si>
  <si>
    <t>已关闭时</t>
  </si>
  <si>
    <t>连接新定义。</t>
  </si>
  <si>
    <t>建议</t>
  </si>
  <si>
    <t>潜在解释尤其需要竞争解释。</t>
  </si>
  <si>
    <t>说明与近邻主题区别。</t>
  </si>
  <si>
    <t>中文字段名</t>
  </si>
  <si>
    <t>必填条件</t>
  </si>
  <si>
    <t>允许值或格式</t>
  </si>
  <si>
    <t>填写规则</t>
  </si>
  <si>
    <t>是</t>
  </si>
  <si>
    <t>唯一ID</t>
  </si>
  <si>
    <t>主题子语料中的稳定ID。</t>
  </si>
  <si>
    <t>项目内ID</t>
  </si>
  <si>
    <t>不得保存作者标识或公开主页。</t>
  </si>
  <si>
    <t>B站｜携程｜抖音｜微博｜小红书</t>
  </si>
  <si>
    <t>沿用冻结平台范围。</t>
  </si>
  <si>
    <t>KOL｜KOC｜无法判定</t>
  </si>
  <si>
    <t>用于粗分组比较。</t>
  </si>
  <si>
    <t>H-KOL｜W-KOL｜T-KOL｜KOC｜无法判定</t>
  </si>
  <si>
    <t>沿用结构化主轨，不在本表推导。</t>
  </si>
  <si>
    <t>概率核心｜目的性补充</t>
  </si>
  <si>
    <t>概率核心与目的性补充必须分开。</t>
  </si>
  <si>
    <t>已纳入｜已排除｜待决定</t>
  </si>
  <si>
    <t>只有已纳入进入分析。</t>
  </si>
  <si>
    <t>明确记录纳入边界。</t>
  </si>
  <si>
    <t>必须回到冻结规范文本。</t>
  </si>
  <si>
    <t>SHA-256</t>
  </si>
  <si>
    <t>检测文本版本漂移。</t>
  </si>
  <si>
    <t>是｜部分｜否</t>
  </si>
  <si>
    <t>标题、正文、标签、图文关系是否可查。</t>
  </si>
  <si>
    <t>纳入边界变化时递增。</t>
  </si>
  <si>
    <t>每名研究者对每篇帖子至少一条。</t>
  </si>
  <si>
    <t>引用子语料清单</t>
  </si>
  <si>
    <t>连接分析子语料。</t>
  </si>
  <si>
    <t>用于跨表核对。</t>
  </si>
  <si>
    <t>匿名ID</t>
  </si>
  <si>
    <t>不得写姓名。</t>
  </si>
  <si>
    <t>是｜否</t>
  </si>
  <si>
    <t>不得只看片段或既有标签。</t>
  </si>
  <si>
    <t>检查标题、标签、媒体与平台语境。</t>
  </si>
  <si>
    <t>用自己的话概括帖子正在做什么。</t>
  </si>
  <si>
    <t>明确带入的理论、平台或旅游经验。</t>
  </si>
  <si>
    <t>修订须留痕。</t>
  </si>
  <si>
    <t xml:space="preserve">ISO 8601</t>
  </si>
  <si>
    <t>统一时区。</t>
  </si>
  <si>
    <t>改名不改ID。</t>
  </si>
  <si>
    <t>短文本</t>
  </si>
  <si>
    <t>用有分析意味的词组。</t>
  </si>
  <si>
    <t>每个代码只捕捉一个意义。</t>
  </si>
  <si>
    <t>理论驱动｜数据驱动｜混合来源</t>
  </si>
  <si>
    <t>标明理论/数据/混合来源。</t>
  </si>
  <si>
    <t>语义层｜潜在层｜两者</t>
  </si>
  <si>
    <t>潜在层必须写推理和替代解释。</t>
  </si>
  <si>
    <t>拟议｜使用中｜已合并｜已拆分｜已停用</t>
  </si>
  <si>
    <t>变化必须写入决策日志。</t>
  </si>
  <si>
    <t>边界变化时递增。</t>
  </si>
  <si>
    <t>一行代表一次应用；未记录不等于0。</t>
  </si>
  <si>
    <t>连接子语料。</t>
  </si>
  <si>
    <t>连接完整帖子。</t>
  </si>
  <si>
    <t>可跨固定片段ID（seg_id），但不得改变切分。</t>
  </si>
  <si>
    <t>引用代码登记</t>
  </si>
  <si>
    <t>同一证据可有多个应用行。</t>
  </si>
  <si>
    <t>防止证据漂移。</t>
  </si>
  <si>
    <t>记录标题、前后文、标签、平台和图文关系。</t>
  </si>
  <si>
    <t>说明为何应用此代码。</t>
  </si>
  <si>
    <t>是｜否｜UNCLEAR</t>
  </si>
  <si>
    <t>提示是否可能挑战候选主题。</t>
  </si>
  <si>
    <t>暂定｜形成中｜较成熟</t>
  </si>
  <si>
    <t>不是统计置信度。</t>
  </si>
  <si>
    <t>记录应用者。</t>
  </si>
  <si>
    <t>对应应用时定义。</t>
  </si>
  <si>
    <t>与子语料记录一致。</t>
  </si>
  <si>
    <t>体现共享意义，而非话题名。</t>
  </si>
  <si>
    <t>候选｜发展中｜保留｜已合并｜已拆分｜已删除</t>
  </si>
  <si>
    <t>只有保留进入最终结果。</t>
  </si>
  <si>
    <t>说明多条证据为何属于同一主题。</t>
  </si>
  <si>
    <t>对RQ作出可争辩解释。</t>
  </si>
  <si>
    <t>RQ编号/说明</t>
  </si>
  <si>
    <t>说明回答RQ-T的哪一部分。</t>
  </si>
  <si>
    <t>定义、边界或主张变化时递增。</t>
  </si>
  <si>
    <t>负责人不等于唯一解释者。</t>
  </si>
  <si>
    <t>连接主题、代码应用和帖子。</t>
  </si>
  <si>
    <t>引用主题登记</t>
  </si>
  <si>
    <t>每条关系单独成行。</t>
  </si>
  <si>
    <t>保留代码层证据链。</t>
  </si>
  <si>
    <t>引用代码应用</t>
  </si>
  <si>
    <t>回到具体证据。</t>
  </si>
  <si>
    <t>用于检查证据多样性。</t>
  </si>
  <si>
    <t>核心证据｜支持证据｜张力证据｜反例证据</t>
  </si>
  <si>
    <t>说明支持、张力或反例。</t>
  </si>
  <si>
    <t>解释证据如何支持、限定或挑战主张。</t>
  </si>
  <si>
    <t>记录判断责任。</t>
  </si>
  <si>
    <t>每次复核单独成行。</t>
  </si>
  <si>
    <t>被复核主题。</t>
  </si>
  <si>
    <t>最好不是唯一主题负责人。</t>
  </si>
  <si>
    <t>主题内｜全子语料｜同侪挑战</t>
  </si>
  <si>
    <t>主题内、全语料或挑战性复核。</t>
  </si>
  <si>
    <t>复核绑定冻结版本。</t>
  </si>
  <si>
    <t>通过｜需修订｜未通过｜不适用</t>
  </si>
  <si>
    <t>按实际复核结果填写。</t>
  </si>
  <si>
    <t>提出最有力的替代解释。</t>
  </si>
  <si>
    <t>保留｜需修订｜合并｜已拆分｜删除</t>
  </si>
  <si>
    <t>决定须进入决策日志。</t>
  </si>
  <si>
    <t>写明修改或补查内容。</t>
  </si>
  <si>
    <t>记录研究者位置与解释变化。</t>
  </si>
  <si>
    <t>熟悉材料｜初始编码｜主题发展｜主题复核｜分析写作</t>
  </si>
  <si>
    <t>反思贯穿全过程。</t>
  </si>
  <si>
    <t>子语料记录｜开放代码｜代码应用｜主题｜一般</t>
  </si>
  <si>
    <t>GENERAL可不填对象ID。</t>
  </si>
  <si>
    <t>说明旅游、平台或理论经验。</t>
  </si>
  <si>
    <t>说明可能放大或遮蔽什么。</t>
  </si>
  <si>
    <t>写出可竞争的解释。</t>
  </si>
  <si>
    <t>补查、改名、收窄或同侪讨论。</t>
  </si>
  <si>
    <t>只追加，不覆盖历史。</t>
  </si>
  <si>
    <t>子语料｜开放代码｜主题｜方法｜人工智能</t>
  </si>
  <si>
    <t>决策作用对象。</t>
  </si>
  <si>
    <t>稳定ID</t>
  </si>
  <si>
    <t>方法级可用METHOD-TA。</t>
  </si>
  <si>
    <t>新建｜重命名｜重新定义｜合并｜已拆分｜保留｜删除｜范围变更</t>
  </si>
  <si>
    <t>与状态变化相符。</t>
  </si>
  <si>
    <t>未关闭｜已关闭｜已被替代</t>
  </si>
  <si>
    <t>未解决问题保持未关闭。</t>
  </si>
  <si>
    <t>说明为何作此决定。</t>
  </si>
  <si>
    <t>引用应用、映射、复核或备忘录。</t>
  </si>
  <si>
    <t>记录未采用方案和理由。</t>
  </si>
  <si>
    <t>多人时逗号分隔。</t>
  </si>
  <si>
    <t>每次实质协助单独记录。</t>
  </si>
  <si>
    <t>说明介入阶段。</t>
  </si>
  <si>
    <t>仅元数据｜去标识化摘录｜代码清单｜主题摘要｜其他</t>
  </si>
  <si>
    <t>最小必要信息。</t>
  </si>
  <si>
    <t>不得在此粘贴原始材料。</t>
  </si>
  <si>
    <t>文本</t>
  </si>
  <si>
    <t>记录可复现版本。</t>
  </si>
  <si>
    <t>仅辅助检索、整理或候选关系。</t>
  </si>
  <si>
    <t>人工智能建议不得直接变成最终主题。</t>
  </si>
  <si>
    <t>采纳｜部分采纳｜拒绝</t>
  </si>
  <si>
    <t>研究者承担最终解释责任。</t>
  </si>
  <si>
    <t>说明采纳/拒绝依据。</t>
  </si>
  <si>
    <t>ID/比例/规则</t>
  </si>
  <si>
    <t>检查人工智能未建议材料。</t>
  </si>
  <si>
    <t>记录漏检与行动。</t>
  </si>
  <si>
    <t>通过｜未通过｜不适用</t>
  </si>
  <si>
    <t>未通过不得继续使用输出。</t>
  </si>
  <si>
    <t>条件必填</t>
  </si>
  <si>
    <t>非GENERAL时填写。</t>
  </si>
  <si>
    <t>正式前</t>
  </si>
  <si>
    <t>整数</t>
  </si>
  <si>
    <t>相对冻结规范文本；当前契约待冻结。</t>
  </si>
  <si>
    <t>与起始偏移量使用同一规范。</t>
  </si>
  <si>
    <t>状态变化时</t>
  </si>
  <si>
    <t>引用决策日志</t>
  </si>
  <si>
    <t>连接改名、合并、拆分理由。</t>
  </si>
  <si>
    <t>连接保留、合并、拆分或删除理由。</t>
  </si>
  <si>
    <t>从一句合成UGC到候选主题：完整示例</t>
  </si>
  <si>
    <t>仅作示例：不是研究证据，不得复制到正式主题登记。</t>
  </si>
  <si>
    <t>合成帖子片段</t>
  </si>
  <si>
    <t>“风景真的很美，但是人太多了，建议早上六点来。”</t>
  </si>
  <si>
    <t>记录如何逐层发展</t>
  </si>
  <si>
    <t>层级</t>
  </si>
  <si>
    <t>示例记录</t>
  </si>
  <si>
    <t>为什么</t>
  </si>
  <si>
    <t>记录位置</t>
  </si>
  <si>
    <t>状态</t>
  </si>
  <si>
    <t>结构化主轨</t>
  </si>
  <si>
    <t>AT-EVL=1；AT-SUG=1；sentiment_dir=MIX；ASP-CRO=1</t>
  </si>
  <si>
    <t>记录可重复观察字段</t>
  </si>
  <si>
    <t>现有结构化编码表</t>
  </si>
  <si>
    <t>不是主题</t>
  </si>
  <si>
    <t>开放代码1</t>
  </si>
  <si>
    <t>美景被拥挤打折</t>
  </si>
  <si>
    <t>捕捉美感与拥挤的张力</t>
  </si>
  <si>
    <t xml:space="preserve">3_开放代码登记 + 4_代码应用</t>
  </si>
  <si>
    <t>代码</t>
  </si>
  <si>
    <t>开放代码2</t>
  </si>
  <si>
    <t>用时间技巧换取理想体验</t>
  </si>
  <si>
    <t>捕捉通过早起/避峰解决体验障碍</t>
  </si>
  <si>
    <t>候选主题</t>
  </si>
  <si>
    <t>理想风景是一种需要技巧才能获得的稀缺体验</t>
  </si>
  <si>
    <t>把多篇帖子的障碍、技巧与目的地价值组织成共享意义</t>
  </si>
  <si>
    <t>候选</t>
  </si>
  <si>
    <t>核心概念</t>
  </si>
  <si>
    <t>目的地价值受时间与知识门槛约束的可获得性</t>
  </si>
  <si>
    <t>说明多个代码为何属于同一主题</t>
  </si>
  <si>
    <t>发展中</t>
  </si>
  <si>
    <t>反例</t>
  </si>
  <si>
    <t>不做攻略也能随遇而安，拥挤被描述为热闹</t>
  </si>
  <si>
    <t>检验主题边界，防止只挑支持案例</t>
  </si>
  <si>
    <t xml:space="preserve">6_主题证据映射 + 7_主题复核</t>
  </si>
  <si>
    <t>反例证据</t>
  </si>
  <si>
    <t>主题成立前的最低检查</t>
  </si>
  <si>
    <t>✓</t>
  </si>
  <si>
    <t>跨多篇材料形成共享意义，而非关键词或单篇故事。</t>
  </si>
  <si>
    <t>有核心组织概念和能回答RQ-T的分析主张。</t>
  </si>
  <si>
    <t>说明纳入/排除边界，并与近邻主题区分。</t>
  </si>
  <si>
    <t>回到冻结子语料复核，并主动寻找反例和竞争解释。</t>
  </si>
  <si>
    <t>保留改名、合并、拆分或删除的决策轨迹。</t>
  </si>
  <si>
    <t>主题分析试编码：记录完整性与执行状态</t>
  </si>
  <si>
    <t>以下计数只用于发现漏填和流程缺口，不代表主题重要性、饱和度或研究质量。</t>
  </si>
  <si>
    <t>过程指标</t>
  </si>
  <si>
    <t>当前值</t>
  </si>
  <si>
    <t>解释</t>
  </si>
  <si>
    <t>工作表质检</t>
  </si>
  <si>
    <t>问题数</t>
  </si>
  <si>
    <t>提醒</t>
  </si>
  <si>
    <t>纳入子语料</t>
  </si>
  <si>
    <t>已纳入的帖子数</t>
  </si>
  <si>
    <t>需补充</t>
  </si>
  <si>
    <t>完整熟悉记录</t>
  </si>
  <si>
    <t>自动质检状态为正常</t>
  </si>
  <si>
    <t>缺项/复核</t>
  </si>
  <si>
    <t>使用中的开放代码</t>
  </si>
  <si>
    <t>当前可用代码</t>
  </si>
  <si>
    <t>代码应用</t>
  </si>
  <si>
    <t>一行一次应用；不是阴性分母</t>
  </si>
  <si>
    <t>缺项/偏移量</t>
  </si>
  <si>
    <t>候选/发展主题</t>
  </si>
  <si>
    <t>候选与发展中</t>
  </si>
  <si>
    <t>保留主题</t>
  </si>
  <si>
    <t>仍需方法冻结</t>
  </si>
  <si>
    <t>主题证据映射</t>
  </si>
  <si>
    <t>支持、张力与反例</t>
  </si>
  <si>
    <t>缺项/修订</t>
  </si>
  <si>
    <t>反例链接</t>
  </si>
  <si>
    <t>主题复核记录</t>
  </si>
  <si>
    <t>全部复核轮次</t>
  </si>
  <si>
    <t>反思备忘录</t>
  </si>
  <si>
    <t>立场与竞争解释</t>
  </si>
  <si>
    <t>缺项/禁止</t>
  </si>
  <si>
    <t>未关闭决策</t>
  </si>
  <si>
    <t>尚未解决决定</t>
  </si>
  <si>
    <t>总体状态</t>
  </si>
  <si>
    <t>正式执行前仍需冻结</t>
  </si>
  <si>
    <t>主题子语料规模及两类抽样比例</t>
  </si>
  <si>
    <t>偏移量、哈希、跨片段ID证据与版本校验契约</t>
  </si>
  <si>
    <t>研究者分工和挑战性复核责任</t>
  </si>
  <si>
    <t>人工智能使用范围与漏检抽审比例</t>
  </si>
  <si>
    <t>至少一次带审计轨迹的试运行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</si>
</sst>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2">
    <font>
      <sz val="11.000000"/>
      <name val="Carlito"/>
    </font>
    <font>
      <b/>
      <sz val="18.000000"/>
      <color indexed="65"/>
      <name val="Carlito"/>
    </font>
    <font>
      <b/>
      <sz val="11.000000"/>
      <color rgb="FF8A4B08"/>
      <name val="Carlito"/>
    </font>
    <font>
      <b/>
      <sz val="12.000000"/>
      <color rgb="FF17324D"/>
      <name val="Carlito"/>
    </font>
    <font>
      <b/>
      <sz val="12.000000"/>
      <color indexed="65"/>
      <name val="Carlito"/>
    </font>
    <font>
      <b/>
      <sz val="11.000000"/>
      <color indexed="65"/>
      <name val="Carlito"/>
    </font>
    <font>
      <b/>
      <sz val="11.000000"/>
      <color rgb="FF17324D"/>
      <name val="Carlito"/>
    </font>
    <font>
      <b/>
      <sz val="11.000000"/>
      <color rgb="FFB42318"/>
      <name val="Carlito"/>
    </font>
    <font>
      <i/>
      <sz val="14.000000"/>
      <color rgb="FF17324D"/>
      <name val="Carlito"/>
    </font>
    <font>
      <b/>
      <sz val="11.000000"/>
      <color rgb="FF256029"/>
      <name val="Carlito"/>
    </font>
    <font>
      <b/>
      <sz val="13.000000"/>
      <color rgb="FF17324D"/>
      <name val="Carlito"/>
    </font>
    <font>
      <b/>
      <sz val="14.000000"/>
      <color rgb="FF17324D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F4CC"/>
      </patternFill>
    </fill>
    <fill>
      <patternFill patternType="solid">
        <fgColor rgb="FFD9F0EC"/>
      </patternFill>
    </fill>
    <fill>
      <patternFill patternType="solid">
        <fgColor rgb="FF0F766E"/>
      </patternFill>
    </fill>
    <fill>
      <patternFill patternType="solid">
        <fgColor rgb="FFE8F1FA"/>
      </patternFill>
    </fill>
    <fill>
      <patternFill patternType="solid">
        <fgColor rgb="FFF2F4F7"/>
      </patternFill>
    </fill>
    <fill>
      <patternFill patternType="solid">
        <fgColor rgb="FFFCE8E6"/>
      </patternFill>
    </fill>
    <fill>
      <patternFill patternType="solid">
        <fgColor rgb="FFE2F0D9"/>
      </patternFill>
    </fill>
  </fills>
  <borders count="14">
    <border>
      <left style="none"/>
      <right style="none"/>
      <top style="none"/>
      <bottom style="none"/>
      <diagonal style="none"/>
    </border>
    <border>
      <left style="medium">
        <color rgb="FF0F766E"/>
      </left>
      <right style="none"/>
      <top style="medium">
        <color rgb="FF0F766E"/>
      </top>
      <bottom style="none"/>
      <diagonal style="none"/>
    </border>
    <border>
      <left style="none"/>
      <right style="none"/>
      <top style="medium">
        <color rgb="FF0F766E"/>
      </top>
      <bottom style="none"/>
      <diagonal style="none"/>
    </border>
    <border>
      <left style="none"/>
      <right style="medium">
        <color rgb="FF0F766E"/>
      </right>
      <top style="medium">
        <color rgb="FF0F766E"/>
      </top>
      <bottom style="none"/>
      <diagonal style="none"/>
    </border>
    <border>
      <left style="medium">
        <color rgb="FF0F766E"/>
      </left>
      <right style="none"/>
      <top style="none"/>
      <bottom style="medium">
        <color rgb="FF0F766E"/>
      </bottom>
      <diagonal style="none"/>
    </border>
    <border>
      <left style="none"/>
      <right style="none"/>
      <top style="none"/>
      <bottom style="medium">
        <color rgb="FF0F766E"/>
      </bottom>
      <diagonal style="none"/>
    </border>
    <border>
      <left style="none"/>
      <right style="medium">
        <color rgb="FF0F766E"/>
      </right>
      <top style="none"/>
      <bottom style="medium">
        <color rgb="FF0F766E"/>
      </bottom>
      <diagonal style="none"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 style="none"/>
    </border>
    <border>
      <left style="medium">
        <color rgb="FF7AA7D8"/>
      </left>
      <right style="none"/>
      <top style="medium">
        <color rgb="FF7AA7D8"/>
      </top>
      <bottom style="none"/>
      <diagonal style="none"/>
    </border>
    <border>
      <left style="none"/>
      <right style="none"/>
      <top style="medium">
        <color rgb="FF7AA7D8"/>
      </top>
      <bottom style="none"/>
      <diagonal style="none"/>
    </border>
    <border>
      <left style="none"/>
      <right style="medium">
        <color rgb="FF7AA7D8"/>
      </right>
      <top style="medium">
        <color rgb="FF7AA7D8"/>
      </top>
      <bottom style="none"/>
      <diagonal style="none"/>
    </border>
    <border>
      <left style="medium">
        <color rgb="FF7AA7D8"/>
      </left>
      <right style="none"/>
      <top style="none"/>
      <bottom style="medium">
        <color rgb="FF7AA7D8"/>
      </bottom>
      <diagonal style="none"/>
    </border>
    <border>
      <left style="none"/>
      <right style="none"/>
      <top style="none"/>
      <bottom style="medium">
        <color rgb="FF7AA7D8"/>
      </bottom>
      <diagonal style="none"/>
    </border>
    <border>
      <left style="none"/>
      <right style="medium">
        <color rgb="FF7AA7D8"/>
      </right>
      <top style="none"/>
      <bottom style="medium">
        <color rgb="FF7AA7D8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34">
    <xf fontId="0" fillId="0" borderId="0" numFmtId="0" xfId="0"/>
    <xf fontId="1" fillId="2" borderId="0" numFmtId="0" xfId="0" applyFont="1" applyFill="1" applyAlignment="1">
      <alignment vertical="center"/>
    </xf>
    <xf fontId="2" fillId="3" borderId="0" numFmtId="0" xfId="0" applyFont="1" applyFill="1"/>
    <xf fontId="3" fillId="4" borderId="1" numFmtId="0" xfId="0" applyFont="1" applyFill="1" applyBorder="1" applyAlignment="1">
      <alignment vertical="center" wrapText="1"/>
    </xf>
    <xf fontId="3" fillId="4" borderId="2" numFmtId="0" xfId="0" applyFont="1" applyFill="1" applyBorder="1" applyAlignment="1">
      <alignment vertical="center" wrapText="1"/>
    </xf>
    <xf fontId="3" fillId="4" borderId="3" numFmtId="0" xfId="0" applyFont="1" applyFill="1" applyBorder="1" applyAlignment="1">
      <alignment vertical="center" wrapText="1"/>
    </xf>
    <xf fontId="3" fillId="4" borderId="4" numFmtId="0" xfId="0" applyFont="1" applyFill="1" applyBorder="1" applyAlignment="1">
      <alignment vertical="center" wrapText="1"/>
    </xf>
    <xf fontId="3" fillId="4" borderId="5" numFmtId="0" xfId="0" applyFont="1" applyFill="1" applyBorder="1" applyAlignment="1">
      <alignment vertical="center" wrapText="1"/>
    </xf>
    <xf fontId="3" fillId="4" borderId="6" numFmtId="0" xfId="0" applyFont="1" applyFill="1" applyBorder="1" applyAlignment="1">
      <alignment vertical="center" wrapText="1"/>
    </xf>
    <xf fontId="4" fillId="5" borderId="0" numFmtId="0" xfId="0" applyFont="1" applyFill="1" applyAlignment="1">
      <alignment vertical="center"/>
    </xf>
    <xf fontId="5" fillId="2" borderId="7" numFmtId="0" xfId="0" applyFont="1" applyFill="1" applyBorder="1" applyAlignment="1">
      <alignment wrapText="1"/>
    </xf>
    <xf fontId="0" fillId="0" borderId="7" numFmtId="0" xfId="0" applyBorder="1" applyAlignment="1">
      <alignment wrapText="1"/>
    </xf>
    <xf fontId="6" fillId="6" borderId="7" numFmtId="0" xfId="0" applyFont="1" applyFill="1" applyBorder="1" applyAlignment="1">
      <alignment horizontal="center" vertical="top" wrapText="1"/>
    </xf>
    <xf fontId="6" fillId="0" borderId="7" numFmtId="0" xfId="0" applyFont="1" applyBorder="1" applyAlignment="1">
      <alignment vertical="top" wrapText="1"/>
    </xf>
    <xf fontId="0" fillId="0" borderId="7" numFmtId="0" xfId="0" applyBorder="1" applyAlignment="1">
      <alignment vertical="top" wrapText="1"/>
    </xf>
    <xf fontId="3" fillId="6" borderId="8" numFmtId="0" xfId="0" applyFont="1" applyFill="1" applyBorder="1" applyAlignment="1">
      <alignment vertical="center" wrapText="1"/>
    </xf>
    <xf fontId="3" fillId="6" borderId="9" numFmtId="0" xfId="0" applyFont="1" applyFill="1" applyBorder="1" applyAlignment="1">
      <alignment vertical="center" wrapText="1"/>
    </xf>
    <xf fontId="3" fillId="6" borderId="10" numFmtId="0" xfId="0" applyFont="1" applyFill="1" applyBorder="1" applyAlignment="1">
      <alignment vertical="center" wrapText="1"/>
    </xf>
    <xf fontId="3" fillId="6" borderId="11" numFmtId="0" xfId="0" applyFont="1" applyFill="1" applyBorder="1" applyAlignment="1">
      <alignment vertical="center" wrapText="1"/>
    </xf>
    <xf fontId="3" fillId="6" borderId="12" numFmtId="0" xfId="0" applyFont="1" applyFill="1" applyBorder="1" applyAlignment="1">
      <alignment vertical="center" wrapText="1"/>
    </xf>
    <xf fontId="3" fillId="6" borderId="13" numFmtId="0" xfId="0" applyFont="1" applyFill="1" applyBorder="1" applyAlignment="1">
      <alignment vertical="center" wrapText="1"/>
    </xf>
    <xf fontId="5" fillId="2" borderId="7" numFmtId="0" xfId="0" applyFont="1" applyFill="1" applyBorder="1" applyAlignment="1">
      <alignment vertical="top" wrapText="1"/>
    </xf>
    <xf fontId="6" fillId="7" borderId="7" numFmtId="0" xfId="0" applyFont="1" applyFill="1" applyBorder="1" applyAlignment="1">
      <alignment vertical="top" wrapText="1"/>
    </xf>
    <xf fontId="6" fillId="7" borderId="7" numFmtId="0" xfId="0" applyFont="1" applyFill="1" applyBorder="1" applyAlignment="1">
      <alignment wrapText="1"/>
    </xf>
    <xf fontId="7" fillId="8" borderId="7" numFmtId="0" xfId="0" applyFont="1" applyFill="1" applyBorder="1" applyAlignment="1">
      <alignment horizontal="center" wrapText="1"/>
    </xf>
    <xf fontId="5" fillId="2" borderId="0" numFmtId="0" xfId="0" applyFont="1" applyFill="1" applyAlignment="1">
      <alignment horizontal="center" vertical="center" wrapText="1"/>
    </xf>
    <xf fontId="0" fillId="0" borderId="0" numFmtId="0" xfId="0" applyAlignment="1">
      <alignment vertical="top" wrapText="1"/>
    </xf>
    <xf fontId="0" fillId="6" borderId="0" numFmtId="0" xfId="0" applyFill="1" applyAlignment="1">
      <alignment vertical="top" wrapText="1"/>
    </xf>
    <xf fontId="5" fillId="2" borderId="0" numFmtId="0" xfId="0" applyFont="1" applyFill="1" applyAlignment="1">
      <alignment vertical="top" wrapText="1"/>
    </xf>
    <xf fontId="8" fillId="6" borderId="0" numFmtId="0" xfId="0" applyFont="1" applyFill="1" applyAlignment="1">
      <alignment horizontal="center" vertical="center" wrapText="1"/>
    </xf>
    <xf fontId="9" fillId="9" borderId="7" numFmtId="0" xfId="0" applyFont="1" applyFill="1" applyBorder="1" applyAlignment="1">
      <alignment horizontal="center" wrapText="1"/>
    </xf>
    <xf fontId="10" fillId="6" borderId="7" numFmtId="0" xfId="0" applyFont="1" applyFill="1" applyBorder="1" applyAlignment="1">
      <alignment horizontal="center" wrapText="1"/>
    </xf>
    <xf fontId="11" fillId="4" borderId="0" numFmtId="0" xfId="0" applyFont="1" applyFill="1" applyAlignment="1">
      <alignment horizontal="center" vertical="center" wrapText="1"/>
    </xf>
    <xf fontId="2" fillId="3" borderId="7" numFmtId="0" xfId="0" applyFont="1" applyFill="1" applyBorder="1" applyAlignment="1">
      <alignment horizontal="center" wrapText="1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theme" Target="theme/theme1.xml"/><Relationship  Id="rId16" Type="http://schemas.openxmlformats.org/officeDocument/2006/relationships/sharedStrings" Target="sharedStrings.xml"/><Relationship  Id="rId17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CorpusItems" ref="A1:P201" headerRowCount="1" totalsRowCount="0">
  <autoFilter ref="A1:P201"/>
  <tableColumns count="16">
    <tableColumn id="1" name="子语料记录ID"/>
    <tableColumn id="2" name="帖子ID"/>
    <tableColumn id="3" name="平台"/>
    <tableColumn id="4" name="创作者组"/>
    <tableColumn id="5" name="创作者层级"/>
    <tableColumn id="6" name="抽样路径"/>
    <tableColumn id="7" name="抽样层"/>
    <tableColumn id="8" name="纳入状态"/>
    <tableColumn id="9" name="纳入/排除理由"/>
    <tableColumn id="10" name="来源文本版本"/>
    <tableColumn id="11" name="内容哈希"/>
    <tableColumn id="12" name="语境可用性"/>
    <tableColumn id="13" name="受控原文引用"/>
    <tableColumn id="14" name="子语料版本"/>
    <tableColumn id="15" name="备注"/>
    <tableColumn id="16" name="自动质检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FamiliarisationMemos" ref="A1:Q201" headerRowCount="1" totalsRowCount="0">
  <autoFilter ref="A1:Q201"/>
  <tableColumns count="17">
    <tableColumn id="1" name="熟悉材料备忘录ID"/>
    <tableColumn id="2" name="子语料记录ID"/>
    <tableColumn id="3" name="帖子ID"/>
    <tableColumn id="4" name="研究者匿名ID"/>
    <tableColumn id="5" name="是否完整阅读"/>
    <tableColumn id="6" name="是否检查完整语境"/>
    <tableColumn id="7" name="整体初印象"/>
    <tableColumn id="8" name="反复出现的意义"/>
    <tableColumn id="9" name="意外、矛盾与张力"/>
    <tableColumn id="10" name="平台语境"/>
    <tableColumn id="11" name="创作者文本定位"/>
    <tableColumn id="12" name="图文关系"/>
    <tableColumn id="13" name="研究者原有预期"/>
    <tableColumn id="14" name="后续追问"/>
    <tableColumn id="15" name="备忘录版本"/>
    <tableColumn id="16" name="记录时间"/>
    <tableColumn id="17" name="自动质检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OpenCodeRegistry" ref="A1:R201" headerRowCount="1" totalsRowCount="0">
  <autoFilter ref="A1:R201"/>
  <tableColumns count="18">
    <tableColumn id="1" name="开放代码ID"/>
    <tableColumn id="2" name="代码名称"/>
    <tableColumn id="3" name="简要定义"/>
    <tableColumn id="4" name="代码来源"/>
    <tableColumn id="5" name="分析层次"/>
    <tableColumn id="6" name="纳入标准"/>
    <tableColumn id="7" name="排除标准"/>
    <tableColumn id="8" name="正例说明"/>
    <tableColumn id="9" name="反例/近邻说明"/>
    <tableColumn id="10" name="相关V类代码"/>
    <tableColumn id="11" name="代码状态"/>
    <tableColumn id="12" name="父代码ID"/>
    <tableColumn id="13" name="替代代码ID"/>
    <tableColumn id="14" name="代码版本"/>
    <tableColumn id="15" name="决策日志ID"/>
    <tableColumn id="16" name="创建者匿名ID"/>
    <tableColumn id="17" name="创建/更新时间"/>
    <tableColumn id="18" name="自动质检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CodeApplications" ref="A1:S501" headerRowCount="1" totalsRowCount="0">
  <autoFilter ref="A1:S501"/>
  <tableColumns count="19">
    <tableColumn id="1" name="代码应用ID"/>
    <tableColumn id="2" name="子语料记录ID"/>
    <tableColumn id="3" name="帖子ID"/>
    <tableColumn id="4" name="证据片段ID"/>
    <tableColumn id="5" name="开放代码ID"/>
    <tableColumn id="6" name="受控证据引用"/>
    <tableColumn id="7" name="起始偏移量"/>
    <tableColumn id="8" name="结束偏移量"/>
    <tableColumn id="9" name="证据文本哈希"/>
    <tableColumn id="10" name="必要语境"/>
    <tableColumn id="11" name="分析备忘录"/>
    <tableColumn id="12" name="替代解释"/>
    <tableColumn id="13" name="反例线索"/>
    <tableColumn id="14" name="解释成熟度"/>
    <tableColumn id="15" name="研究者匿名ID"/>
    <tableColumn id="16" name="代码版本"/>
    <tableColumn id="17" name="来源文本版本"/>
    <tableColumn id="18" name="应用时间"/>
    <tableColumn id="19" name="自动质检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ThemeRegistry" ref="A1:T201" headerRowCount="1" totalsRowCount="0">
  <autoFilter ref="A1:T201"/>
  <tableColumns count="20">
    <tableColumn id="1" name="主题ID"/>
    <tableColumn id="2" name="主题名称"/>
    <tableColumn id="3" name="主题状态"/>
    <tableColumn id="4" name="核心组织概念"/>
    <tableColumn id="5" name="分析主张"/>
    <tableColumn id="6" name="关联研究问题"/>
    <tableColumn id="7" name="纳入边界"/>
    <tableColumn id="8" name="排除边界"/>
    <tableColumn id="9" name="与其他主题边界"/>
    <tableColumn id="10" name="分组模式备注"/>
    <tableColumn id="11" name="反例检索状态"/>
    <tableColumn id="12" name="全子语料复核"/>
    <tableColumn id="13" name="主题版本"/>
    <tableColumn id="14" name="替代的主题ID"/>
    <tableColumn id="15" name="决策日志ID"/>
    <tableColumn id="16" name="主题负责人匿名ID"/>
    <tableColumn id="17" name="更新时间"/>
    <tableColumn id="18" name="支持链接数"/>
    <tableColumn id="19" name="反例链接数"/>
    <tableColumn id="20" name="自动质检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displayName="ThemeEvidenceLinks" ref="A1:J501" headerRowCount="1" totalsRowCount="0">
  <autoFilter ref="A1:J501"/>
  <tableColumns count="10">
    <tableColumn id="1" name="映射ID"/>
    <tableColumn id="2" name="主题ID"/>
    <tableColumn id="3" name="开放代码ID"/>
    <tableColumn id="4" name="代码应用ID"/>
    <tableColumn id="5" name="帖子ID"/>
    <tableColumn id="6" name="与主题关系"/>
    <tableColumn id="7" name="连接理由"/>
    <tableColumn id="8" name="映射者匿名ID"/>
    <tableColumn id="9" name="映射时间"/>
    <tableColumn id="10" name="自动质检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displayName="ThemeReviews" ref="A1:P201" headerRowCount="1" totalsRowCount="0">
  <autoFilter ref="A1:P201"/>
  <tableColumns count="16">
    <tableColumn id="1" name="复核ID"/>
    <tableColumn id="2" name="主题ID"/>
    <tableColumn id="3" name="复核者匿名ID"/>
    <tableColumn id="4" name="复核范围"/>
    <tableColumn id="5" name="子语料版本"/>
    <tableColumn id="6" name="主题内连贯性"/>
    <tableColumn id="7" name="全子语料契合"/>
    <tableColumn id="8" name="主题间区分度"/>
    <tableColumn id="9" name="边界清晰度"/>
    <tableColumn id="10" name="反例处理"/>
    <tableColumn id="11" name="分组检查"/>
    <tableColumn id="12" name="竞争解释"/>
    <tableColumn id="13" name="复核决定"/>
    <tableColumn id="14" name="所需行动"/>
    <tableColumn id="15" name="复核时间"/>
    <tableColumn id="16" name="自动质检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displayName="ReflexiveMemos" ref="A1:M201" headerRowCount="1" totalsRowCount="0">
  <autoFilter ref="A1:M201"/>
  <tableColumns count="13">
    <tableColumn id="1" name="反思备忘录ID"/>
    <tableColumn id="2" name="研究者匿名ID"/>
    <tableColumn id="3" name="分析阶段"/>
    <tableColumn id="4" name="关联对象类型"/>
    <tableColumn id="5" name="关联对象ID"/>
    <tableColumn id="6" name="立场或既有预期"/>
    <tableColumn id="7" name="可能造成的影响"/>
    <tableColumn id="8" name="竞争解释"/>
    <tableColumn id="9" name="挑战判断的证据"/>
    <tableColumn id="10" name="采取的行动"/>
    <tableColumn id="11" name="同侪讨论引用"/>
    <tableColumn id="12" name="记录时间"/>
    <tableColumn id="13" name="自动质检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displayName="AnalysisDecisions" ref="A1:M201" headerRowCount="1" totalsRowCount="0">
  <autoFilter ref="A1:M201"/>
  <tableColumns count="13">
    <tableColumn id="1" name="决策ID"/>
    <tableColumn id="2" name="对象类型"/>
    <tableColumn id="3" name="对象ID"/>
    <tableColumn id="4" name="决策类型"/>
    <tableColumn id="5" name="决策状态"/>
    <tableColumn id="6" name="变更前版本"/>
    <tableColumn id="7" name="变更后版本"/>
    <tableColumn id="8" name="决策理由"/>
    <tableColumn id="9" name="证据引用"/>
    <tableColumn id="10" name="考虑的替代方案"/>
    <tableColumn id="11" name="决策者匿名ID"/>
    <tableColumn id="12" name="决策时间"/>
    <tableColumn id="13" name="自动质检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displayName="AIAssistanceLog" ref="A1:O201" headerRowCount="1" totalsRowCount="0">
  <autoFilter ref="A1:O201"/>
  <tableColumns count="15">
    <tableColumn id="1" name="人工智能协助记录ID"/>
    <tableColumn id="2" name="分析阶段"/>
    <tableColumn id="3" name="输入范围类型"/>
    <tableColumn id="4" name="输入对象ID"/>
    <tableColumn id="5" name="工具/模型版本"/>
    <tableColumn id="6" name="人工智能任务"/>
    <tableColumn id="7" name="建议摘要"/>
    <tableColumn id="8" name="人工决定"/>
    <tableColumn id="9" name="人工决定理由"/>
    <tableColumn id="10" name="人工复核者匿名ID"/>
    <tableColumn id="11" name="漏检抽审范围"/>
    <tableColumn id="12" name="漏检抽审结果"/>
    <tableColumn id="13" name="隐私检查"/>
    <tableColumn id="14" name="记录时间"/>
    <tableColumn id="15" name="自动质检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displayName="FieldDictionary" ref="A1:E158" headerRowCount="1" totalsRowCount="0">
  <autoFilter ref="A1:E158"/>
  <sortState ref="C1:C158">
    <sortCondition descending="0" ref="C1:C158"/>
  </sortState>
  <tableColumns count="5">
    <tableColumn id="1" name="工作表"/>
    <tableColumn id="2" name="中文字段名"/>
    <tableColumn id="3" name="必填条件"/>
    <tableColumn id="4" name="允许值或格式"/>
    <tableColumn id="5" name="填写规则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table" Target="../tables/table4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table" Target="../tables/table5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table" Target="../tables/table6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table" Target="../tables/table7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table" Target="../tables/table8.x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table" Target="../tables/table9.xml"/></Relationships>
</file>

<file path=xl/worksheets/_rels/sheet1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0.xml"/></Relationships>
</file>

<file path=xl/worksheets/_rels/sheet1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4.25"/>
  <cols>
    <col customWidth="1" min="1" max="1" width="8"/>
    <col customWidth="1" min="2" max="2" width="20"/>
    <col customWidth="1" min="3" max="3" width="30"/>
    <col customWidth="1" min="4" max="4" width="18"/>
    <col customWidth="1" min="5" max="8" width="24"/>
  </cols>
  <sheetData>
    <row r="1">
      <c r="A1" s="1" t="s">
        <v>0</v>
      </c>
      <c r="B1" s="1"/>
      <c r="C1" s="1"/>
      <c r="D1" s="1"/>
      <c r="E1" s="1"/>
      <c r="F1" s="1"/>
      <c r="G1" s="1"/>
      <c r="H1" s="1"/>
    </row>
    <row r="2">
      <c r="A2" s="1"/>
      <c r="B2" s="1"/>
      <c r="C2" s="1"/>
      <c r="D2" s="1"/>
      <c r="E2" s="1"/>
      <c r="F2" s="1"/>
      <c r="G2" s="1"/>
      <c r="H2" s="1"/>
    </row>
    <row r="3">
      <c r="A3" s="2" t="s">
        <v>1</v>
      </c>
      <c r="B3" s="2"/>
      <c r="C3" s="2"/>
      <c r="D3" s="2"/>
      <c r="E3" s="2"/>
      <c r="F3" s="2"/>
      <c r="G3" s="2"/>
      <c r="H3" s="2"/>
    </row>
    <row r="5">
      <c r="A5" s="3" t="s">
        <v>2</v>
      </c>
      <c r="B5" s="4"/>
      <c r="C5" s="4"/>
      <c r="D5" s="4"/>
      <c r="E5" s="4"/>
      <c r="F5" s="4"/>
      <c r="G5" s="4"/>
      <c r="H5" s="5"/>
    </row>
    <row r="6">
      <c r="A6" s="6"/>
      <c r="B6" s="7"/>
      <c r="C6" s="7"/>
      <c r="D6" s="7"/>
      <c r="E6" s="7"/>
      <c r="F6" s="7"/>
      <c r="G6" s="7"/>
      <c r="H6" s="8"/>
    </row>
    <row r="8" ht="16.5">
      <c r="A8" s="9" t="s">
        <v>3</v>
      </c>
      <c r="B8" s="9"/>
      <c r="C8" s="9"/>
      <c r="D8" s="9"/>
      <c r="E8" s="9"/>
      <c r="F8" s="9"/>
      <c r="G8" s="9"/>
      <c r="H8" s="9"/>
    </row>
    <row r="9">
      <c r="A9" s="10" t="s">
        <v>4</v>
      </c>
      <c r="B9" s="10" t="s">
        <v>5</v>
      </c>
      <c r="C9" s="10" t="s">
        <v>6</v>
      </c>
      <c r="D9" s="10" t="s">
        <v>7</v>
      </c>
      <c r="E9" s="10" t="s">
        <v>8</v>
      </c>
      <c r="F9" s="10" t="s">
        <v>9</v>
      </c>
      <c r="G9" s="10" t="s">
        <v>10</v>
      </c>
      <c r="H9" s="10" t="s">
        <v>11</v>
      </c>
    </row>
    <row r="10" ht="48" customHeight="1">
      <c r="A10" s="11">
        <v>1</v>
      </c>
      <c r="B10" s="11" t="s">
        <v>12</v>
      </c>
      <c r="C10" s="11" t="s">
        <v>13</v>
      </c>
      <c r="D10" s="11" t="s">
        <v>14</v>
      </c>
      <c r="E10" s="11" t="s">
        <v>15</v>
      </c>
      <c r="F10" s="11" t="s">
        <v>16</v>
      </c>
      <c r="G10" s="11" t="s">
        <v>17</v>
      </c>
      <c r="H10" s="11" t="s">
        <v>18</v>
      </c>
    </row>
    <row r="11" ht="48" customHeight="1">
      <c r="A11" s="11">
        <v>2</v>
      </c>
      <c r="B11" s="11" t="s">
        <v>19</v>
      </c>
      <c r="C11" s="11" t="s">
        <v>20</v>
      </c>
      <c r="D11" s="11" t="s">
        <v>21</v>
      </c>
      <c r="E11" s="11" t="s">
        <v>22</v>
      </c>
      <c r="F11" s="11" t="s">
        <v>23</v>
      </c>
      <c r="G11" s="11" t="s">
        <v>17</v>
      </c>
      <c r="H11" s="11" t="s">
        <v>24</v>
      </c>
    </row>
    <row r="12" ht="48" customHeight="1">
      <c r="A12" s="11">
        <v>3</v>
      </c>
      <c r="B12" s="11" t="s">
        <v>25</v>
      </c>
      <c r="C12" s="11" t="s">
        <v>26</v>
      </c>
      <c r="D12" s="11" t="s">
        <v>27</v>
      </c>
      <c r="E12" s="11" t="s">
        <v>28</v>
      </c>
      <c r="F12" s="11" t="s">
        <v>29</v>
      </c>
      <c r="G12" s="11" t="s">
        <v>30</v>
      </c>
      <c r="H12" s="11" t="s">
        <v>31</v>
      </c>
    </row>
    <row r="13" ht="48" customHeight="1">
      <c r="A13" s="11">
        <v>4</v>
      </c>
      <c r="B13" s="11" t="s">
        <v>32</v>
      </c>
      <c r="C13" s="11" t="s">
        <v>33</v>
      </c>
      <c r="D13" s="11" t="s">
        <v>34</v>
      </c>
      <c r="E13" s="11" t="s">
        <v>35</v>
      </c>
      <c r="F13" s="11" t="s">
        <v>36</v>
      </c>
      <c r="G13" s="11" t="s">
        <v>17</v>
      </c>
      <c r="H13" s="11" t="s">
        <v>37</v>
      </c>
    </row>
    <row r="14" ht="48" customHeight="1">
      <c r="A14" s="11">
        <v>5</v>
      </c>
      <c r="B14" s="11" t="s">
        <v>38</v>
      </c>
      <c r="C14" s="11" t="s">
        <v>39</v>
      </c>
      <c r="D14" s="11" t="s">
        <v>40</v>
      </c>
      <c r="E14" s="11" t="s">
        <v>41</v>
      </c>
      <c r="F14" s="11" t="s">
        <v>42</v>
      </c>
      <c r="G14" s="11" t="s">
        <v>43</v>
      </c>
      <c r="H14" s="11" t="s">
        <v>44</v>
      </c>
    </row>
    <row r="16" ht="16.5">
      <c r="A16" s="9" t="s">
        <v>45</v>
      </c>
      <c r="B16" s="9"/>
      <c r="C16" s="9"/>
      <c r="D16" s="9"/>
      <c r="E16" s="9"/>
      <c r="F16" s="9"/>
      <c r="G16" s="9"/>
      <c r="H16" s="9"/>
    </row>
    <row r="17" ht="48" customHeight="1">
      <c r="A17" s="12" t="s">
        <v>46</v>
      </c>
      <c r="B17" s="13" t="s">
        <v>47</v>
      </c>
      <c r="C17" s="14" t="s">
        <v>48</v>
      </c>
      <c r="D17" s="14"/>
      <c r="E17" s="14"/>
      <c r="F17" s="14"/>
      <c r="G17" s="14"/>
      <c r="H17" s="14"/>
    </row>
    <row r="18" ht="48" customHeight="1">
      <c r="A18" s="12" t="s">
        <v>49</v>
      </c>
      <c r="B18" s="13" t="s">
        <v>50</v>
      </c>
      <c r="C18" s="14" t="s">
        <v>51</v>
      </c>
      <c r="D18" s="14"/>
      <c r="E18" s="14"/>
      <c r="F18" s="14"/>
      <c r="G18" s="14"/>
      <c r="H18" s="14"/>
    </row>
    <row r="19" ht="48" customHeight="1">
      <c r="A19" s="12" t="s">
        <v>52</v>
      </c>
      <c r="B19" s="13" t="s">
        <v>53</v>
      </c>
      <c r="C19" s="14" t="s">
        <v>54</v>
      </c>
      <c r="D19" s="14"/>
      <c r="E19" s="14"/>
      <c r="F19" s="14"/>
      <c r="G19" s="14"/>
      <c r="H19" s="14"/>
    </row>
    <row r="20" ht="48" customHeight="1">
      <c r="A20" s="12" t="s">
        <v>55</v>
      </c>
      <c r="B20" s="13" t="s">
        <v>56</v>
      </c>
      <c r="C20" s="14" t="s">
        <v>57</v>
      </c>
      <c r="D20" s="14"/>
      <c r="E20" s="14"/>
      <c r="F20" s="14"/>
      <c r="G20" s="14"/>
      <c r="H20" s="14"/>
    </row>
    <row r="22" ht="16.5">
      <c r="A22" s="9" t="s">
        <v>58</v>
      </c>
      <c r="B22" s="9"/>
      <c r="C22" s="9"/>
      <c r="D22" s="9"/>
      <c r="E22" s="9"/>
      <c r="F22" s="9"/>
      <c r="G22" s="9"/>
      <c r="H22" s="9"/>
    </row>
    <row r="23">
      <c r="A23" s="15" t="s">
        <v>59</v>
      </c>
      <c r="B23" s="16"/>
      <c r="C23" s="16"/>
      <c r="D23" s="16"/>
      <c r="E23" s="16"/>
      <c r="F23" s="16"/>
      <c r="G23" s="16"/>
      <c r="H23" s="17"/>
    </row>
    <row r="24">
      <c r="A24" s="18"/>
      <c r="B24" s="19"/>
      <c r="C24" s="19"/>
      <c r="D24" s="19"/>
      <c r="E24" s="19"/>
      <c r="F24" s="19"/>
      <c r="G24" s="19"/>
      <c r="H24" s="20"/>
    </row>
    <row r="26" ht="16.5">
      <c r="A26" s="9" t="s">
        <v>60</v>
      </c>
      <c r="B26" s="9"/>
      <c r="C26" s="9"/>
      <c r="D26" s="9"/>
      <c r="E26" s="9"/>
      <c r="F26" s="9"/>
      <c r="G26" s="9"/>
      <c r="H26" s="9"/>
    </row>
    <row r="27" ht="42" customHeight="1">
      <c r="A27" s="21" t="s">
        <v>61</v>
      </c>
      <c r="B27" s="21" t="s">
        <v>62</v>
      </c>
      <c r="C27" s="21"/>
      <c r="D27" s="21"/>
      <c r="E27" s="21" t="s">
        <v>63</v>
      </c>
      <c r="F27" s="21"/>
      <c r="G27" s="21"/>
      <c r="H27" s="21"/>
    </row>
    <row r="28" ht="42" customHeight="1">
      <c r="A28" s="22" t="s">
        <v>64</v>
      </c>
      <c r="B28" s="14" t="s">
        <v>65</v>
      </c>
      <c r="C28" s="14"/>
      <c r="D28" s="14"/>
      <c r="E28" s="14" t="s">
        <v>66</v>
      </c>
      <c r="F28" s="14"/>
      <c r="G28" s="14"/>
      <c r="H28" s="14"/>
    </row>
    <row r="29" ht="42" customHeight="1">
      <c r="A29" s="22" t="s">
        <v>67</v>
      </c>
      <c r="B29" s="14" t="s">
        <v>68</v>
      </c>
      <c r="C29" s="14"/>
      <c r="D29" s="14"/>
      <c r="E29" s="14" t="s">
        <v>69</v>
      </c>
      <c r="F29" s="14"/>
      <c r="G29" s="14"/>
      <c r="H29" s="14"/>
    </row>
    <row r="30" ht="42" customHeight="1">
      <c r="A30" s="22" t="s">
        <v>70</v>
      </c>
      <c r="B30" s="14" t="s">
        <v>71</v>
      </c>
      <c r="C30" s="14"/>
      <c r="D30" s="14"/>
      <c r="E30" s="14" t="s">
        <v>72</v>
      </c>
      <c r="F30" s="14"/>
      <c r="G30" s="14"/>
      <c r="H30" s="14"/>
    </row>
    <row r="31" ht="42" customHeight="1">
      <c r="A31" s="22" t="s">
        <v>73</v>
      </c>
      <c r="B31" s="14" t="s">
        <v>74</v>
      </c>
      <c r="C31" s="14"/>
      <c r="D31" s="14"/>
      <c r="E31" s="14" t="s">
        <v>75</v>
      </c>
      <c r="F31" s="14"/>
      <c r="G31" s="14"/>
      <c r="H31" s="14"/>
    </row>
    <row r="32" ht="42" customHeight="1">
      <c r="A32" s="22" t="s">
        <v>76</v>
      </c>
      <c r="B32" s="14" t="s">
        <v>77</v>
      </c>
      <c r="C32" s="14"/>
      <c r="D32" s="14"/>
      <c r="E32" s="14" t="s">
        <v>78</v>
      </c>
      <c r="F32" s="14"/>
      <c r="G32" s="14"/>
      <c r="H32" s="14"/>
    </row>
    <row r="33" ht="42" customHeight="1">
      <c r="A33" s="22" t="s">
        <v>79</v>
      </c>
      <c r="B33" s="14" t="s">
        <v>80</v>
      </c>
      <c r="C33" s="14"/>
      <c r="D33" s="14"/>
      <c r="E33" s="14" t="s">
        <v>81</v>
      </c>
      <c r="F33" s="14"/>
      <c r="G33" s="14"/>
      <c r="H33" s="14"/>
    </row>
    <row r="35" ht="16.5">
      <c r="A35" s="9" t="s">
        <v>82</v>
      </c>
      <c r="B35" s="9"/>
      <c r="C35" s="9"/>
      <c r="D35" s="9"/>
      <c r="E35" s="9"/>
      <c r="F35" s="9"/>
      <c r="G35" s="9"/>
      <c r="H35" s="9"/>
    </row>
    <row r="36" ht="28.5">
      <c r="A36" s="23" t="s">
        <v>83</v>
      </c>
      <c r="B36" s="11" t="s">
        <v>84</v>
      </c>
      <c r="C36" s="11"/>
      <c r="D36" s="11"/>
      <c r="E36" s="11"/>
      <c r="F36" s="11"/>
      <c r="G36" s="11"/>
      <c r="H36" s="11"/>
    </row>
    <row r="37" ht="28.5">
      <c r="A37" s="23" t="s">
        <v>85</v>
      </c>
      <c r="B37" s="11" t="s">
        <v>86</v>
      </c>
      <c r="C37" s="11"/>
      <c r="D37" s="11"/>
      <c r="E37" s="11"/>
      <c r="F37" s="11"/>
      <c r="G37" s="11"/>
      <c r="H37" s="11"/>
    </row>
    <row r="38" ht="42.75">
      <c r="A38" s="23" t="s">
        <v>87</v>
      </c>
      <c r="B38" s="11" t="s">
        <v>88</v>
      </c>
      <c r="C38" s="11"/>
      <c r="D38" s="11"/>
      <c r="E38" s="11"/>
      <c r="F38" s="11"/>
      <c r="G38" s="11"/>
      <c r="H38" s="11"/>
    </row>
    <row r="39" ht="57">
      <c r="A39" s="23" t="s">
        <v>89</v>
      </c>
      <c r="B39" s="11" t="s">
        <v>90</v>
      </c>
      <c r="C39" s="11"/>
      <c r="D39" s="11"/>
      <c r="E39" s="11"/>
      <c r="F39" s="11"/>
      <c r="G39" s="11"/>
      <c r="H39" s="11"/>
    </row>
    <row r="41" ht="16.5">
      <c r="A41" s="9" t="s">
        <v>91</v>
      </c>
      <c r="B41" s="9"/>
      <c r="C41" s="9"/>
      <c r="D41" s="9"/>
      <c r="E41" s="9"/>
      <c r="F41" s="9"/>
      <c r="G41" s="9"/>
      <c r="H41" s="9"/>
    </row>
    <row r="42">
      <c r="A42" s="24" t="s">
        <v>92</v>
      </c>
      <c r="B42" s="11" t="s">
        <v>93</v>
      </c>
      <c r="C42" s="11"/>
      <c r="D42" s="11"/>
      <c r="E42" s="11"/>
      <c r="F42" s="11"/>
      <c r="G42" s="11"/>
      <c r="H42" s="11"/>
    </row>
    <row r="43">
      <c r="A43" s="24" t="s">
        <v>92</v>
      </c>
      <c r="B43" s="11" t="s">
        <v>94</v>
      </c>
      <c r="C43" s="11"/>
      <c r="D43" s="11"/>
      <c r="E43" s="11"/>
      <c r="F43" s="11"/>
      <c r="G43" s="11"/>
      <c r="H43" s="11"/>
    </row>
    <row r="44">
      <c r="A44" s="24" t="s">
        <v>92</v>
      </c>
      <c r="B44" s="11" t="s">
        <v>95</v>
      </c>
      <c r="C44" s="11"/>
      <c r="D44" s="11"/>
      <c r="E44" s="11"/>
      <c r="F44" s="11"/>
      <c r="G44" s="11"/>
      <c r="H44" s="11"/>
    </row>
    <row r="45">
      <c r="A45" s="24" t="s">
        <v>92</v>
      </c>
      <c r="B45" s="11" t="s">
        <v>96</v>
      </c>
      <c r="C45" s="11"/>
      <c r="D45" s="11"/>
      <c r="E45" s="11"/>
      <c r="F45" s="11"/>
      <c r="G45" s="11"/>
      <c r="H45" s="11"/>
    </row>
    <row r="46">
      <c r="A46" s="24" t="s">
        <v>92</v>
      </c>
      <c r="B46" s="11" t="s">
        <v>97</v>
      </c>
      <c r="C46" s="11"/>
      <c r="D46" s="11"/>
      <c r="E46" s="11"/>
      <c r="F46" s="11"/>
      <c r="G46" s="11"/>
      <c r="H46" s="11"/>
    </row>
  </sheetData>
  <mergeCells count="37">
    <mergeCell ref="A1:H2"/>
    <mergeCell ref="A3:H3"/>
    <mergeCell ref="A5:H6"/>
    <mergeCell ref="A8:H8"/>
    <mergeCell ref="A16:H16"/>
    <mergeCell ref="C17:H17"/>
    <mergeCell ref="C18:H18"/>
    <mergeCell ref="C19:H19"/>
    <mergeCell ref="C20:H20"/>
    <mergeCell ref="A22:H22"/>
    <mergeCell ref="A23:H24"/>
    <mergeCell ref="A26:H26"/>
    <mergeCell ref="B27:D27"/>
    <mergeCell ref="E27:H27"/>
    <mergeCell ref="B28:D28"/>
    <mergeCell ref="E28:H28"/>
    <mergeCell ref="B29:D29"/>
    <mergeCell ref="E29:H29"/>
    <mergeCell ref="B30:D30"/>
    <mergeCell ref="E30:H30"/>
    <mergeCell ref="B31:D31"/>
    <mergeCell ref="E31:H31"/>
    <mergeCell ref="B32:D32"/>
    <mergeCell ref="E32:H32"/>
    <mergeCell ref="B33:D33"/>
    <mergeCell ref="E33:H33"/>
    <mergeCell ref="A35:H35"/>
    <mergeCell ref="B36:H36"/>
    <mergeCell ref="B37:H37"/>
    <mergeCell ref="B38:H38"/>
    <mergeCell ref="B39:H39"/>
    <mergeCell ref="A41:H41"/>
    <mergeCell ref="B42:H42"/>
    <mergeCell ref="B43:H43"/>
    <mergeCell ref="B44:H44"/>
    <mergeCell ref="B45:H45"/>
    <mergeCell ref="B46:H4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2" width="18"/>
    <col customWidth="1" min="3" max="3" width="12"/>
    <col customWidth="1" min="4" max="4" width="13"/>
    <col customWidth="1" min="5" max="5" width="14"/>
    <col customWidth="1" min="6" max="6" width="22"/>
    <col customWidth="1" min="7" max="7" width="25"/>
    <col customWidth="1" min="8" max="8" width="17"/>
    <col customWidth="1" min="9" max="9" width="34"/>
    <col customWidth="1" min="10" max="10" width="17"/>
    <col customWidth="1" min="11" max="11" width="25"/>
    <col customWidth="1" min="12" max="12" width="17"/>
    <col customWidth="1" min="13" max="13" width="29"/>
    <col customWidth="1" min="14" max="14" width="18"/>
    <col customWidth="1" min="15" max="15" width="30"/>
    <col customWidth="1" min="16" max="16" width="16"/>
  </cols>
  <sheetData>
    <row r="1" ht="38" customHeight="1">
      <c r="A1" s="25" t="s">
        <v>98</v>
      </c>
      <c r="B1" s="25" t="s">
        <v>99</v>
      </c>
      <c r="C1" s="25" t="s">
        <v>100</v>
      </c>
      <c r="D1" s="25" t="s">
        <v>101</v>
      </c>
      <c r="E1" s="25" t="s">
        <v>102</v>
      </c>
      <c r="F1" s="25" t="s">
        <v>103</v>
      </c>
      <c r="G1" s="25" t="s">
        <v>104</v>
      </c>
      <c r="H1" s="25" t="s">
        <v>105</v>
      </c>
      <c r="I1" s="25" t="s">
        <v>106</v>
      </c>
      <c r="J1" s="25" t="s">
        <v>107</v>
      </c>
      <c r="K1" s="25" t="s">
        <v>108</v>
      </c>
      <c r="L1" s="25" t="s">
        <v>109</v>
      </c>
      <c r="M1" s="25" t="s">
        <v>110</v>
      </c>
      <c r="N1" s="25" t="s">
        <v>111</v>
      </c>
      <c r="O1" s="25" t="s">
        <v>11</v>
      </c>
      <c r="P1" s="25" t="s">
        <v>112</v>
      </c>
    </row>
    <row r="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7" t="str">
        <f t="shared" ref="P2:P9" si="0">IF(A2="","",IF(OR(B2="",C2="",D2="",E2="",F2="",H2="",I2="",J2="",K2="",L2="",N2=""),"需补充","正常"))</f>
        <v/>
      </c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7" t="str">
        <f t="shared" si="0"/>
        <v/>
      </c>
    </row>
    <row r="4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7" t="str">
        <f t="shared" si="0"/>
        <v/>
      </c>
    </row>
    <row r="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7" t="str">
        <f t="shared" si="0"/>
        <v/>
      </c>
    </row>
    <row r="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7" t="str">
        <f t="shared" si="0"/>
        <v/>
      </c>
    </row>
    <row r="7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7" t="str">
        <f t="shared" si="0"/>
        <v/>
      </c>
    </row>
    <row r="8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 t="str">
        <f t="shared" si="0"/>
        <v/>
      </c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7" t="str">
        <f t="shared" si="0"/>
        <v/>
      </c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7" t="str">
        <f t="shared" ref="P10:P73" si="1">IF(A10="","",IF(OR(B10="",C10="",D10="",E10="",F10="",H10="",I10="",J10="",K10="",L10="",N10=""),"需补充","正常"))</f>
        <v/>
      </c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7" t="str">
        <f t="shared" si="1"/>
        <v/>
      </c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 t="str">
        <f t="shared" si="1"/>
        <v/>
      </c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 t="str">
        <f t="shared" si="1"/>
        <v/>
      </c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 t="str">
        <f t="shared" si="1"/>
        <v/>
      </c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 t="str">
        <f t="shared" si="1"/>
        <v/>
      </c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 t="str">
        <f t="shared" si="1"/>
        <v/>
      </c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 t="str">
        <f t="shared" si="1"/>
        <v/>
      </c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 t="str">
        <f t="shared" si="1"/>
        <v/>
      </c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 t="str">
        <f t="shared" si="1"/>
        <v/>
      </c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 t="str">
        <f t="shared" si="1"/>
        <v/>
      </c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7" t="str">
        <f t="shared" si="1"/>
        <v/>
      </c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7" t="str">
        <f t="shared" si="1"/>
        <v/>
      </c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7" t="str">
        <f t="shared" si="1"/>
        <v/>
      </c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7" t="str">
        <f t="shared" si="1"/>
        <v/>
      </c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7" t="str">
        <f t="shared" si="1"/>
        <v/>
      </c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7" t="str">
        <f t="shared" si="1"/>
        <v/>
      </c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7" t="str">
        <f t="shared" si="1"/>
        <v/>
      </c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7" t="str">
        <f t="shared" si="1"/>
        <v/>
      </c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7" t="str">
        <f t="shared" si="1"/>
        <v/>
      </c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7" t="str">
        <f t="shared" si="1"/>
        <v/>
      </c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7" t="str">
        <f t="shared" si="1"/>
        <v/>
      </c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7" t="str">
        <f t="shared" si="1"/>
        <v/>
      </c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7" t="str">
        <f t="shared" si="1"/>
        <v/>
      </c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7" t="str">
        <f t="shared" si="1"/>
        <v/>
      </c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7" t="str">
        <f t="shared" si="1"/>
        <v/>
      </c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7" t="str">
        <f t="shared" si="1"/>
        <v/>
      </c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7" t="str">
        <f t="shared" si="1"/>
        <v/>
      </c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7" t="str">
        <f t="shared" si="1"/>
        <v/>
      </c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7" t="str">
        <f t="shared" si="1"/>
        <v/>
      </c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7" t="str">
        <f t="shared" si="1"/>
        <v/>
      </c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7" t="str">
        <f t="shared" si="1"/>
        <v/>
      </c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7" t="str">
        <f t="shared" si="1"/>
        <v/>
      </c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7" t="str">
        <f t="shared" si="1"/>
        <v/>
      </c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7" t="str">
        <f t="shared" si="1"/>
        <v/>
      </c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7" t="str">
        <f t="shared" si="1"/>
        <v/>
      </c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7" t="str">
        <f t="shared" si="1"/>
        <v/>
      </c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7" t="str">
        <f t="shared" si="1"/>
        <v/>
      </c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7" t="str">
        <f t="shared" si="1"/>
        <v/>
      </c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7" t="str">
        <f t="shared" si="1"/>
        <v/>
      </c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7" t="str">
        <f t="shared" si="1"/>
        <v/>
      </c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7" t="str">
        <f t="shared" si="1"/>
        <v/>
      </c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7" t="str">
        <f t="shared" si="1"/>
        <v/>
      </c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7" t="str">
        <f t="shared" si="1"/>
        <v/>
      </c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7" t="str">
        <f t="shared" si="1"/>
        <v/>
      </c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7" t="str">
        <f t="shared" si="1"/>
        <v/>
      </c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7" t="str">
        <f t="shared" si="1"/>
        <v/>
      </c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7" t="str">
        <f t="shared" si="1"/>
        <v/>
      </c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7" t="str">
        <f t="shared" si="1"/>
        <v/>
      </c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7" t="str">
        <f t="shared" si="1"/>
        <v/>
      </c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7" t="str">
        <f t="shared" si="1"/>
        <v/>
      </c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7" t="str">
        <f t="shared" si="1"/>
        <v/>
      </c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7" t="str">
        <f t="shared" si="1"/>
        <v/>
      </c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7" t="str">
        <f t="shared" si="1"/>
        <v/>
      </c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7" t="str">
        <f t="shared" si="1"/>
        <v/>
      </c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7" t="str">
        <f t="shared" si="1"/>
        <v/>
      </c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7" t="str">
        <f t="shared" si="1"/>
        <v/>
      </c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7" t="str">
        <f t="shared" si="1"/>
        <v/>
      </c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7" t="str">
        <f t="shared" si="1"/>
        <v/>
      </c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7" t="str">
        <f t="shared" si="1"/>
        <v/>
      </c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7" t="str">
        <f t="shared" si="1"/>
        <v/>
      </c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7" t="str">
        <f t="shared" si="1"/>
        <v/>
      </c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7" t="str">
        <f t="shared" si="1"/>
        <v/>
      </c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7" t="str">
        <f t="shared" si="1"/>
        <v/>
      </c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7" t="str">
        <f t="shared" ref="P74:P99" si="2">IF(A74="","",IF(OR(B74="",C74="",D74="",E74="",F74="",H74="",I74="",J74="",K74="",L74="",N74=""),"需补充","正常"))</f>
        <v/>
      </c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7" t="str">
        <f t="shared" si="2"/>
        <v/>
      </c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7" t="str">
        <f t="shared" si="2"/>
        <v/>
      </c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7" t="str">
        <f t="shared" si="2"/>
        <v/>
      </c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7" t="str">
        <f t="shared" si="2"/>
        <v/>
      </c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7" t="str">
        <f t="shared" si="2"/>
        <v/>
      </c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7" t="str">
        <f t="shared" si="2"/>
        <v/>
      </c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7" t="str">
        <f t="shared" si="2"/>
        <v/>
      </c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7" t="str">
        <f t="shared" si="2"/>
        <v/>
      </c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7" t="str">
        <f t="shared" si="2"/>
        <v/>
      </c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7" t="str">
        <f t="shared" si="2"/>
        <v/>
      </c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7" t="str">
        <f t="shared" si="2"/>
        <v/>
      </c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7" t="str">
        <f t="shared" si="2"/>
        <v/>
      </c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7" t="str">
        <f t="shared" si="2"/>
        <v/>
      </c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7" t="str">
        <f t="shared" si="2"/>
        <v/>
      </c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7" t="str">
        <f t="shared" si="2"/>
        <v/>
      </c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7" t="str">
        <f t="shared" si="2"/>
        <v/>
      </c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7" t="str">
        <f t="shared" si="2"/>
        <v/>
      </c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7" t="str">
        <f t="shared" si="2"/>
        <v/>
      </c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7" t="str">
        <f t="shared" si="2"/>
        <v/>
      </c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7" t="str">
        <f t="shared" si="2"/>
        <v/>
      </c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7" t="str">
        <f t="shared" si="2"/>
        <v/>
      </c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7" t="str">
        <f t="shared" si="2"/>
        <v/>
      </c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7" t="str">
        <f t="shared" si="2"/>
        <v/>
      </c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7" t="str">
        <f t="shared" si="2"/>
        <v/>
      </c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7" t="str">
        <f t="shared" si="2"/>
        <v/>
      </c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7" t="str">
        <f t="shared" ref="P100:P163" si="3">IF(A100="","",IF(OR(B100="",C100="",D100="",E100="",F100="",H100="",I100="",J100="",K100="",L100="",N100=""),"需补充","正常"))</f>
        <v/>
      </c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7" t="str">
        <f t="shared" si="3"/>
        <v/>
      </c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7" t="str">
        <f t="shared" si="3"/>
        <v/>
      </c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7" t="str">
        <f t="shared" si="3"/>
        <v/>
      </c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7" t="str">
        <f t="shared" si="3"/>
        <v/>
      </c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7" t="str">
        <f t="shared" si="3"/>
        <v/>
      </c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7" t="str">
        <f t="shared" si="3"/>
        <v/>
      </c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7" t="str">
        <f t="shared" si="3"/>
        <v/>
      </c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7" t="str">
        <f t="shared" si="3"/>
        <v/>
      </c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7" t="str">
        <f t="shared" si="3"/>
        <v/>
      </c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7" t="str">
        <f t="shared" si="3"/>
        <v/>
      </c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7" t="str">
        <f t="shared" si="3"/>
        <v/>
      </c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7" t="str">
        <f t="shared" si="3"/>
        <v/>
      </c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7" t="str">
        <f t="shared" si="3"/>
        <v/>
      </c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7" t="str">
        <f t="shared" si="3"/>
        <v/>
      </c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7" t="str">
        <f t="shared" si="3"/>
        <v/>
      </c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7" t="str">
        <f t="shared" si="3"/>
        <v/>
      </c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7" t="str">
        <f t="shared" si="3"/>
        <v/>
      </c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7" t="str">
        <f t="shared" si="3"/>
        <v/>
      </c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7" t="str">
        <f t="shared" si="3"/>
        <v/>
      </c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7" t="str">
        <f t="shared" si="3"/>
        <v/>
      </c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7" t="str">
        <f t="shared" si="3"/>
        <v/>
      </c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7" t="str">
        <f t="shared" si="3"/>
        <v/>
      </c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7" t="str">
        <f t="shared" si="3"/>
        <v/>
      </c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7" t="str">
        <f t="shared" si="3"/>
        <v/>
      </c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7" t="str">
        <f t="shared" si="3"/>
        <v/>
      </c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7" t="str">
        <f t="shared" si="3"/>
        <v/>
      </c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7" t="str">
        <f t="shared" si="3"/>
        <v/>
      </c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7" t="str">
        <f t="shared" si="3"/>
        <v/>
      </c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7" t="str">
        <f t="shared" si="3"/>
        <v/>
      </c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7" t="str">
        <f t="shared" si="3"/>
        <v/>
      </c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7" t="str">
        <f t="shared" si="3"/>
        <v/>
      </c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7" t="str">
        <f t="shared" si="3"/>
        <v/>
      </c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7" t="str">
        <f t="shared" si="3"/>
        <v/>
      </c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7" t="str">
        <f t="shared" si="3"/>
        <v/>
      </c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7" t="str">
        <f t="shared" si="3"/>
        <v/>
      </c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7" t="str">
        <f t="shared" si="3"/>
        <v/>
      </c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7" t="str">
        <f t="shared" si="3"/>
        <v/>
      </c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7" t="str">
        <f t="shared" si="3"/>
        <v/>
      </c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7" t="str">
        <f t="shared" si="3"/>
        <v/>
      </c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7" t="str">
        <f t="shared" si="3"/>
        <v/>
      </c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7" t="str">
        <f t="shared" si="3"/>
        <v/>
      </c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7" t="str">
        <f t="shared" si="3"/>
        <v/>
      </c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7" t="str">
        <f t="shared" si="3"/>
        <v/>
      </c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7" t="str">
        <f t="shared" si="3"/>
        <v/>
      </c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7" t="str">
        <f t="shared" si="3"/>
        <v/>
      </c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7" t="str">
        <f t="shared" si="3"/>
        <v/>
      </c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7" t="str">
        <f t="shared" si="3"/>
        <v/>
      </c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7" t="str">
        <f t="shared" si="3"/>
        <v/>
      </c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7" t="str">
        <f t="shared" si="3"/>
        <v/>
      </c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7" t="str">
        <f t="shared" si="3"/>
        <v/>
      </c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7" t="str">
        <f t="shared" si="3"/>
        <v/>
      </c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7" t="str">
        <f t="shared" si="3"/>
        <v/>
      </c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7" t="str">
        <f t="shared" si="3"/>
        <v/>
      </c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7" t="str">
        <f t="shared" si="3"/>
        <v/>
      </c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7" t="str">
        <f t="shared" si="3"/>
        <v/>
      </c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7" t="str">
        <f t="shared" si="3"/>
        <v/>
      </c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7" t="str">
        <f t="shared" si="3"/>
        <v/>
      </c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7" t="str">
        <f t="shared" si="3"/>
        <v/>
      </c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7" t="str">
        <f t="shared" si="3"/>
        <v/>
      </c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7" t="str">
        <f t="shared" si="3"/>
        <v/>
      </c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7" t="str">
        <f t="shared" si="3"/>
        <v/>
      </c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7" t="str">
        <f t="shared" si="3"/>
        <v/>
      </c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7" t="str">
        <f t="shared" si="3"/>
        <v/>
      </c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7" t="str">
        <f t="shared" ref="P164:P201" si="4">IF(A164="","",IF(OR(B164="",C164="",D164="",E164="",F164="",H164="",I164="",J164="",K164="",L164="",N164=""),"需补充","正常"))</f>
        <v/>
      </c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7" t="str">
        <f t="shared" si="4"/>
        <v/>
      </c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7" t="str">
        <f t="shared" si="4"/>
        <v/>
      </c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7" t="str">
        <f t="shared" si="4"/>
        <v/>
      </c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7" t="str">
        <f t="shared" si="4"/>
        <v/>
      </c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7" t="str">
        <f t="shared" si="4"/>
        <v/>
      </c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7" t="str">
        <f t="shared" si="4"/>
        <v/>
      </c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7" t="str">
        <f t="shared" si="4"/>
        <v/>
      </c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7" t="str">
        <f t="shared" si="4"/>
        <v/>
      </c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7" t="str">
        <f t="shared" si="4"/>
        <v/>
      </c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7" t="str">
        <f t="shared" si="4"/>
        <v/>
      </c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7" t="str">
        <f t="shared" si="4"/>
        <v/>
      </c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7" t="str">
        <f t="shared" si="4"/>
        <v/>
      </c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7" t="str">
        <f t="shared" si="4"/>
        <v/>
      </c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7" t="str">
        <f t="shared" si="4"/>
        <v/>
      </c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7" t="str">
        <f t="shared" si="4"/>
        <v/>
      </c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7" t="str">
        <f t="shared" si="4"/>
        <v/>
      </c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7" t="str">
        <f t="shared" si="4"/>
        <v/>
      </c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7" t="str">
        <f t="shared" si="4"/>
        <v/>
      </c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7" t="str">
        <f t="shared" si="4"/>
        <v/>
      </c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7" t="str">
        <f t="shared" si="4"/>
        <v/>
      </c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7" t="str">
        <f t="shared" si="4"/>
        <v/>
      </c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7" t="str">
        <f t="shared" si="4"/>
        <v/>
      </c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7" t="str">
        <f t="shared" si="4"/>
        <v/>
      </c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7" t="str">
        <f t="shared" si="4"/>
        <v/>
      </c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7" t="str">
        <f t="shared" si="4"/>
        <v/>
      </c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7" t="str">
        <f t="shared" si="4"/>
        <v/>
      </c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7" t="str">
        <f t="shared" si="4"/>
        <v/>
      </c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7" t="str">
        <f t="shared" si="4"/>
        <v/>
      </c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7" t="str">
        <f t="shared" si="4"/>
        <v/>
      </c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7" t="str">
        <f t="shared" si="4"/>
        <v/>
      </c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7" t="str">
        <f t="shared" si="4"/>
        <v/>
      </c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7" t="str">
        <f t="shared" si="4"/>
        <v/>
      </c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7" t="str">
        <f t="shared" si="4"/>
        <v/>
      </c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7" t="str">
        <f t="shared" si="4"/>
        <v/>
      </c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7" t="str">
        <f t="shared" si="4"/>
        <v/>
      </c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7" t="str">
        <f t="shared" si="4"/>
        <v/>
      </c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7" t="str">
        <f t="shared" si="4"/>
        <v/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正常" id="{B7473958-CD9A-42F2-BC96-8B36B24E3122}">
            <x14:dxf>
              <font>
                <b/>
                <color rgb="FF256029"/>
              </font>
              <fill>
                <patternFill patternType="solid">
                  <fgColor rgb="FFE2F0D9"/>
                  <bgColor rgb="FFE2F0D9"/>
                </patternFill>
              </fill>
            </x14:dxf>
          </x14:cfRule>
          <xm:sqref>P2:P201</xm:sqref>
        </x14:conditionalFormatting>
        <x14:conditionalFormatting xmlns:xm="http://schemas.microsoft.com/office/excel/2006/main">
          <x14:cfRule type="containsText" priority="2" operator="containsText" text="待冻结" id="{08164611-2E32-477A-8AEC-2B32952E3B1D}">
            <x14:dxf>
              <font>
                <b/>
                <color rgb="FF8A4B08"/>
              </font>
              <fill>
                <patternFill patternType="solid">
                  <fgColor rgb="FFFFF4CC"/>
                  <bgColor rgb="FFFFF4CC"/>
                </patternFill>
              </fill>
            </x14:dxf>
          </x14:cfRule>
          <xm:sqref>P2:P201</xm:sqref>
        </x14:conditionalFormatting>
        <x14:conditionalFormatting xmlns:xm="http://schemas.microsoft.com/office/excel/2006/main">
          <x14:cfRule type="containsText" priority="3" operator="containsText" text="需" id="{ED7414B5-E16E-4939-8F07-55B7FC1C7814}">
            <x14:dxf>
              <font>
                <b/>
                <color rgb="FFB42318"/>
              </font>
              <fill>
                <patternFill patternType="solid">
                  <fgColor rgb="FFFCE8E6"/>
                  <bgColor rgb="FFFCE8E6"/>
                </patternFill>
              </fill>
            </x14:dxf>
          </x14:cfRule>
          <xm:sqref>P2:P201</xm:sqref>
        </x14:conditionalFormatting>
        <x14:conditionalFormatting xmlns:xm="http://schemas.microsoft.com/office/excel/2006/main">
          <x14:cfRule type="containsText" priority="4" operator="containsText" text="禁止" id="{EFAA31A1-7B59-43A5-A1DE-7FB48F05DFB0}">
            <x14:dxf>
              <font>
                <b/>
                <color rgb="FFB42318"/>
              </font>
              <fill>
                <patternFill patternType="solid">
                  <fgColor rgb="FFFCE8E6"/>
                  <bgColor rgb="FFFCE8E6"/>
                </patternFill>
              </fill>
            </x14:dxf>
          </x14:cfRule>
          <xm:sqref>P2:P201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7" disablePrompts="0">
        <x14:dataValidation xr:uid="{307B4905-7295-4D1B-81F4-D7E3D2B7D87D}" type="list" allowBlank="0" errorStyle="stop" imeMode="noControl" operator="between" showDropDown="0" showErrorMessage="0" showInputMessage="0">
          <x14:formula1>
            <xm:f>"B站,携程,抖音,微博,小红书"</xm:f>
          </x14:formula1>
          <xm:sqref>C2:C201</xm:sqref>
        </x14:dataValidation>
        <x14:dataValidation xr:uid="{4EBF2FFE-9BF7-484B-B606-0818F21FDD26}" type="list" allowBlank="0" errorStyle="stop" imeMode="noControl" operator="between" showDropDown="0" showErrorMessage="0" showInputMessage="0">
          <x14:formula1>
            <xm:f>"KOL,KOC,无法判定"</xm:f>
          </x14:formula1>
          <xm:sqref>D2:D201</xm:sqref>
        </x14:dataValidation>
        <x14:dataValidation xr:uid="{6D961244-EFA0-4B49-BA07-D33B8E0AB222}" type="list" allowBlank="0" errorStyle="stop" imeMode="noControl" operator="between" showDropDown="0" showErrorMessage="0" showInputMessage="0">
          <x14:formula1>
            <xm:f>"H-KOL,W-KOL,T-KOL,KOC,无法判定"</xm:f>
          </x14:formula1>
          <xm:sqref>E2:E201</xm:sqref>
        </x14:dataValidation>
        <x14:dataValidation xr:uid="{99AC1DC0-308C-45D4-B411-394658CD88B7}" type="list" allowBlank="0" errorStyle="stop" imeMode="noControl" operator="between" showDropDown="0" showErrorMessage="0" showInputMessage="0">
          <x14:formula1>
            <xm:f>"概率核心,目的性补充"</xm:f>
          </x14:formula1>
          <xm:sqref>F2:F201</xm:sqref>
        </x14:dataValidation>
        <x14:dataValidation xr:uid="{D692A443-384C-4858-A4DE-BE45A26DEE9D}" type="list" allowBlank="0" errorStyle="stop" imeMode="noControl" operator="between" showDropDown="0" showErrorMessage="0" showInputMessage="0">
          <x14:formula1>
            <xm:f>"已纳入,已排除,待决定"</xm:f>
          </x14:formula1>
          <xm:sqref>H2:H201</xm:sqref>
        </x14:dataValidation>
        <x14:dataValidation xr:uid="{A212BAD0-6080-4419-ABCA-82605E9E65AD}" type="list" allowBlank="0" errorStyle="stop" imeMode="noControl" operator="between" showDropDown="0" showErrorMessage="0" showInputMessage="0">
          <x14:formula1>
            <xm:f>"是,部分,否"</xm:f>
          </x14:formula1>
          <xm:sqref>L2:L201</xm:sqref>
        </x14:dataValidation>
        <x14:dataValidation xr:uid="{CCF589D0-297B-4382-AB2B-008867C7E2C2}" type="list" allowBlank="0" errorStyle="stop" imeMode="noControl" operator="between" showDropDown="0" showErrorMessage="0" showInputMessage="0">
          <x14:formula1>
            <xm:f>"正常,需补充"</xm:f>
          </x14:formula1>
          <xm:sqref>P2:P201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3" width="18"/>
    <col customWidth="1" min="4" max="4" width="15"/>
    <col customWidth="1" min="5" max="5" width="16"/>
    <col customWidth="1" min="6" max="6" width="19"/>
    <col customWidth="1" min="7" max="7" width="42"/>
    <col customWidth="1" min="8" max="9" width="38"/>
    <col customWidth="1" min="10" max="10" width="32"/>
    <col customWidth="1" min="11" max="11" width="35"/>
    <col customWidth="1" min="12" max="12" width="36"/>
    <col customWidth="1" min="13" max="13" width="39"/>
    <col customWidth="1" min="14" max="14" width="36"/>
    <col customWidth="1" min="15" max="15" width="15"/>
    <col customWidth="1" min="16" max="16" width="24"/>
    <col customWidth="1" min="17" max="17" width="16"/>
  </cols>
  <sheetData>
    <row r="1" ht="38" customHeight="1">
      <c r="A1" s="25" t="s">
        <v>113</v>
      </c>
      <c r="B1" s="25" t="s">
        <v>98</v>
      </c>
      <c r="C1" s="25" t="s">
        <v>99</v>
      </c>
      <c r="D1" s="25" t="s">
        <v>114</v>
      </c>
      <c r="E1" s="25" t="s">
        <v>115</v>
      </c>
      <c r="F1" s="25" t="s">
        <v>116</v>
      </c>
      <c r="G1" s="25" t="s">
        <v>117</v>
      </c>
      <c r="H1" s="25" t="s">
        <v>118</v>
      </c>
      <c r="I1" s="25" t="s">
        <v>119</v>
      </c>
      <c r="J1" s="25" t="s">
        <v>120</v>
      </c>
      <c r="K1" s="25" t="s">
        <v>121</v>
      </c>
      <c r="L1" s="25" t="s">
        <v>122</v>
      </c>
      <c r="M1" s="25" t="s">
        <v>123</v>
      </c>
      <c r="N1" s="25" t="s">
        <v>124</v>
      </c>
      <c r="O1" s="25" t="s">
        <v>125</v>
      </c>
      <c r="P1" s="25" t="s">
        <v>126</v>
      </c>
      <c r="Q1" s="25" t="s">
        <v>112</v>
      </c>
    </row>
    <row r="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7" t="str">
        <f t="shared" ref="Q2:Q9" si="5">IF(A2="","",IF(OR(B2="",C2="",D2="",E2="",F2="",G2="",M2="",O2="",P2=""),"需补充",IF(E2&lt;&gt;"是","需复核","正常")))</f>
        <v/>
      </c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7" t="str">
        <f t="shared" si="5"/>
        <v/>
      </c>
    </row>
    <row r="4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7" t="str">
        <f t="shared" si="5"/>
        <v/>
      </c>
    </row>
    <row r="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 t="str">
        <f t="shared" si="5"/>
        <v/>
      </c>
    </row>
    <row r="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7" t="str">
        <f t="shared" si="5"/>
        <v/>
      </c>
    </row>
    <row r="7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7" t="str">
        <f t="shared" si="5"/>
        <v/>
      </c>
    </row>
    <row r="8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7" t="str">
        <f t="shared" si="5"/>
        <v/>
      </c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7" t="str">
        <f t="shared" si="5"/>
        <v/>
      </c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 t="str">
        <f t="shared" ref="Q10:Q73" si="6">IF(A10="","",IF(OR(B10="",C10="",D10="",E10="",F10="",G10="",M10="",O10="",P10=""),"需补充",IF(E10&lt;&gt;"是","需复核","正常")))</f>
        <v/>
      </c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 t="str">
        <f t="shared" si="6"/>
        <v/>
      </c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 t="str">
        <f t="shared" si="6"/>
        <v/>
      </c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 t="str">
        <f t="shared" si="6"/>
        <v/>
      </c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7" t="str">
        <f t="shared" si="6"/>
        <v/>
      </c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7" t="str">
        <f t="shared" si="6"/>
        <v/>
      </c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7" t="str">
        <f t="shared" si="6"/>
        <v/>
      </c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7" t="str">
        <f t="shared" si="6"/>
        <v/>
      </c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7" t="str">
        <f t="shared" si="6"/>
        <v/>
      </c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7" t="str">
        <f t="shared" si="6"/>
        <v/>
      </c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7" t="str">
        <f t="shared" si="6"/>
        <v/>
      </c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7" t="str">
        <f t="shared" si="6"/>
        <v/>
      </c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7" t="str">
        <f t="shared" si="6"/>
        <v/>
      </c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7" t="str">
        <f t="shared" si="6"/>
        <v/>
      </c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7" t="str">
        <f t="shared" si="6"/>
        <v/>
      </c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7" t="str">
        <f t="shared" si="6"/>
        <v/>
      </c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7" t="str">
        <f t="shared" si="6"/>
        <v/>
      </c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7" t="str">
        <f t="shared" si="6"/>
        <v/>
      </c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7" t="str">
        <f t="shared" si="6"/>
        <v/>
      </c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7" t="str">
        <f t="shared" si="6"/>
        <v/>
      </c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7" t="str">
        <f t="shared" si="6"/>
        <v/>
      </c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7" t="str">
        <f t="shared" si="6"/>
        <v/>
      </c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7" t="str">
        <f t="shared" si="6"/>
        <v/>
      </c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7" t="str">
        <f t="shared" si="6"/>
        <v/>
      </c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7" t="str">
        <f t="shared" si="6"/>
        <v/>
      </c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7" t="str">
        <f t="shared" si="6"/>
        <v/>
      </c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7" t="str">
        <f t="shared" si="6"/>
        <v/>
      </c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7" t="str">
        <f t="shared" si="6"/>
        <v/>
      </c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7" t="str">
        <f t="shared" si="6"/>
        <v/>
      </c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7" t="str">
        <f t="shared" si="6"/>
        <v/>
      </c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7" t="str">
        <f t="shared" si="6"/>
        <v/>
      </c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7" t="str">
        <f t="shared" si="6"/>
        <v/>
      </c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7" t="str">
        <f t="shared" si="6"/>
        <v/>
      </c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7" t="str">
        <f t="shared" si="6"/>
        <v/>
      </c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7" t="str">
        <f t="shared" si="6"/>
        <v/>
      </c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7" t="str">
        <f t="shared" si="6"/>
        <v/>
      </c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7" t="str">
        <f t="shared" si="6"/>
        <v/>
      </c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7" t="str">
        <f t="shared" si="6"/>
        <v/>
      </c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7" t="str">
        <f t="shared" si="6"/>
        <v/>
      </c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7" t="str">
        <f t="shared" si="6"/>
        <v/>
      </c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7" t="str">
        <f t="shared" si="6"/>
        <v/>
      </c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7" t="str">
        <f t="shared" si="6"/>
        <v/>
      </c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7" t="str">
        <f t="shared" si="6"/>
        <v/>
      </c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7" t="str">
        <f t="shared" si="6"/>
        <v/>
      </c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7" t="str">
        <f t="shared" si="6"/>
        <v/>
      </c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7" t="str">
        <f t="shared" si="6"/>
        <v/>
      </c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7" t="str">
        <f t="shared" si="6"/>
        <v/>
      </c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7" t="str">
        <f t="shared" si="6"/>
        <v/>
      </c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 t="str">
        <f t="shared" si="6"/>
        <v/>
      </c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7" t="str">
        <f t="shared" si="6"/>
        <v/>
      </c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7" t="str">
        <f t="shared" si="6"/>
        <v/>
      </c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7" t="str">
        <f t="shared" si="6"/>
        <v/>
      </c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7" t="str">
        <f t="shared" si="6"/>
        <v/>
      </c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 t="str">
        <f t="shared" si="6"/>
        <v/>
      </c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 t="str">
        <f t="shared" si="6"/>
        <v/>
      </c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 t="str">
        <f t="shared" si="6"/>
        <v/>
      </c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 t="str">
        <f t="shared" si="6"/>
        <v/>
      </c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 t="str">
        <f t="shared" si="6"/>
        <v/>
      </c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 t="str">
        <f t="shared" si="6"/>
        <v/>
      </c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7" t="str">
        <f t="shared" si="6"/>
        <v/>
      </c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 t="str">
        <f t="shared" si="6"/>
        <v/>
      </c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 t="str">
        <f t="shared" si="6"/>
        <v/>
      </c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 t="str">
        <f t="shared" si="6"/>
        <v/>
      </c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7" t="str">
        <f t="shared" si="6"/>
        <v/>
      </c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7" t="str">
        <f t="shared" ref="Q74:Q99" si="7">IF(A74="","",IF(OR(B74="",C74="",D74="",E74="",F74="",G74="",M74="",O74="",P74=""),"需补充",IF(E74&lt;&gt;"是","需复核","正常")))</f>
        <v/>
      </c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7" t="str">
        <f t="shared" si="7"/>
        <v/>
      </c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7" t="str">
        <f t="shared" si="7"/>
        <v/>
      </c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7" t="str">
        <f t="shared" si="7"/>
        <v/>
      </c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7" t="str">
        <f t="shared" si="7"/>
        <v/>
      </c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7" t="str">
        <f t="shared" si="7"/>
        <v/>
      </c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7" t="str">
        <f t="shared" si="7"/>
        <v/>
      </c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7" t="str">
        <f t="shared" si="7"/>
        <v/>
      </c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7" t="str">
        <f t="shared" si="7"/>
        <v/>
      </c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7" t="str">
        <f t="shared" si="7"/>
        <v/>
      </c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7" t="str">
        <f t="shared" si="7"/>
        <v/>
      </c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7" t="str">
        <f t="shared" si="7"/>
        <v/>
      </c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7" t="str">
        <f t="shared" si="7"/>
        <v/>
      </c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7" t="str">
        <f t="shared" si="7"/>
        <v/>
      </c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7" t="str">
        <f t="shared" si="7"/>
        <v/>
      </c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7" t="str">
        <f t="shared" si="7"/>
        <v/>
      </c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7" t="str">
        <f t="shared" si="7"/>
        <v/>
      </c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7" t="str">
        <f t="shared" si="7"/>
        <v/>
      </c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7" t="str">
        <f t="shared" si="7"/>
        <v/>
      </c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7" t="str">
        <f t="shared" si="7"/>
        <v/>
      </c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7" t="str">
        <f t="shared" si="7"/>
        <v/>
      </c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7" t="str">
        <f t="shared" si="7"/>
        <v/>
      </c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7" t="str">
        <f t="shared" si="7"/>
        <v/>
      </c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7" t="str">
        <f t="shared" si="7"/>
        <v/>
      </c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7" t="str">
        <f t="shared" si="7"/>
        <v/>
      </c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7" t="str">
        <f t="shared" si="7"/>
        <v/>
      </c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7" t="str">
        <f t="shared" ref="Q100:Q163" si="8">IF(A100="","",IF(OR(B100="",C100="",D100="",E100="",F100="",G100="",M100="",O100="",P100=""),"需补充",IF(E100&lt;&gt;"是","需复核","正常")))</f>
        <v/>
      </c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7" t="str">
        <f t="shared" si="8"/>
        <v/>
      </c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7" t="str">
        <f t="shared" si="8"/>
        <v/>
      </c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7" t="str">
        <f t="shared" si="8"/>
        <v/>
      </c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7" t="str">
        <f t="shared" si="8"/>
        <v/>
      </c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7" t="str">
        <f t="shared" si="8"/>
        <v/>
      </c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7" t="str">
        <f t="shared" si="8"/>
        <v/>
      </c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7" t="str">
        <f t="shared" si="8"/>
        <v/>
      </c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7" t="str">
        <f t="shared" si="8"/>
        <v/>
      </c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7" t="str">
        <f t="shared" si="8"/>
        <v/>
      </c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7" t="str">
        <f t="shared" si="8"/>
        <v/>
      </c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7" t="str">
        <f t="shared" si="8"/>
        <v/>
      </c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7" t="str">
        <f t="shared" si="8"/>
        <v/>
      </c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7" t="str">
        <f t="shared" si="8"/>
        <v/>
      </c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7" t="str">
        <f t="shared" si="8"/>
        <v/>
      </c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7" t="str">
        <f t="shared" si="8"/>
        <v/>
      </c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7" t="str">
        <f t="shared" si="8"/>
        <v/>
      </c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7" t="str">
        <f t="shared" si="8"/>
        <v/>
      </c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7" t="str">
        <f t="shared" si="8"/>
        <v/>
      </c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7" t="str">
        <f t="shared" si="8"/>
        <v/>
      </c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7" t="str">
        <f t="shared" si="8"/>
        <v/>
      </c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7" t="str">
        <f t="shared" si="8"/>
        <v/>
      </c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7" t="str">
        <f t="shared" si="8"/>
        <v/>
      </c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7" t="str">
        <f t="shared" si="8"/>
        <v/>
      </c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7" t="str">
        <f t="shared" si="8"/>
        <v/>
      </c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7" t="str">
        <f t="shared" si="8"/>
        <v/>
      </c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7" t="str">
        <f t="shared" si="8"/>
        <v/>
      </c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7" t="str">
        <f t="shared" si="8"/>
        <v/>
      </c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7" t="str">
        <f t="shared" si="8"/>
        <v/>
      </c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7" t="str">
        <f t="shared" si="8"/>
        <v/>
      </c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7" t="str">
        <f t="shared" si="8"/>
        <v/>
      </c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7" t="str">
        <f t="shared" si="8"/>
        <v/>
      </c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7" t="str">
        <f t="shared" si="8"/>
        <v/>
      </c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7" t="str">
        <f t="shared" si="8"/>
        <v/>
      </c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7" t="str">
        <f t="shared" si="8"/>
        <v/>
      </c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7" t="str">
        <f t="shared" si="8"/>
        <v/>
      </c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7" t="str">
        <f t="shared" si="8"/>
        <v/>
      </c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7" t="str">
        <f t="shared" si="8"/>
        <v/>
      </c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7" t="str">
        <f t="shared" si="8"/>
        <v/>
      </c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7" t="str">
        <f t="shared" si="8"/>
        <v/>
      </c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7" t="str">
        <f t="shared" si="8"/>
        <v/>
      </c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7" t="str">
        <f t="shared" si="8"/>
        <v/>
      </c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7" t="str">
        <f t="shared" si="8"/>
        <v/>
      </c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7" t="str">
        <f t="shared" si="8"/>
        <v/>
      </c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7" t="str">
        <f t="shared" si="8"/>
        <v/>
      </c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7" t="str">
        <f t="shared" si="8"/>
        <v/>
      </c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7" t="str">
        <f t="shared" si="8"/>
        <v/>
      </c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7" t="str">
        <f t="shared" si="8"/>
        <v/>
      </c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7" t="str">
        <f t="shared" si="8"/>
        <v/>
      </c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7" t="str">
        <f t="shared" si="8"/>
        <v/>
      </c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7" t="str">
        <f t="shared" si="8"/>
        <v/>
      </c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7" t="str">
        <f t="shared" si="8"/>
        <v/>
      </c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7" t="str">
        <f t="shared" si="8"/>
        <v/>
      </c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7" t="str">
        <f t="shared" si="8"/>
        <v/>
      </c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7" t="str">
        <f t="shared" si="8"/>
        <v/>
      </c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7" t="str">
        <f t="shared" si="8"/>
        <v/>
      </c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7" t="str">
        <f t="shared" si="8"/>
        <v/>
      </c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7" t="str">
        <f t="shared" si="8"/>
        <v/>
      </c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7" t="str">
        <f t="shared" si="8"/>
        <v/>
      </c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7" t="str">
        <f t="shared" si="8"/>
        <v/>
      </c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7" t="str">
        <f t="shared" si="8"/>
        <v/>
      </c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7" t="str">
        <f t="shared" si="8"/>
        <v/>
      </c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7" t="str">
        <f t="shared" si="8"/>
        <v/>
      </c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7" t="str">
        <f t="shared" si="8"/>
        <v/>
      </c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7" t="str">
        <f t="shared" ref="Q164:Q201" si="9">IF(A164="","",IF(OR(B164="",C164="",D164="",E164="",F164="",G164="",M164="",O164="",P164=""),"需补充",IF(E164&lt;&gt;"是","需复核","正常")))</f>
        <v/>
      </c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7" t="str">
        <f t="shared" si="9"/>
        <v/>
      </c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7" t="str">
        <f t="shared" si="9"/>
        <v/>
      </c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7" t="str">
        <f t="shared" si="9"/>
        <v/>
      </c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7" t="str">
        <f t="shared" si="9"/>
        <v/>
      </c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7" t="str">
        <f t="shared" si="9"/>
        <v/>
      </c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7" t="str">
        <f t="shared" si="9"/>
        <v/>
      </c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7" t="str">
        <f t="shared" si="9"/>
        <v/>
      </c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7" t="str">
        <f t="shared" si="9"/>
        <v/>
      </c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7" t="str">
        <f t="shared" si="9"/>
        <v/>
      </c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7" t="str">
        <f t="shared" si="9"/>
        <v/>
      </c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7" t="str">
        <f t="shared" si="9"/>
        <v/>
      </c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7" t="str">
        <f t="shared" si="9"/>
        <v/>
      </c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7" t="str">
        <f t="shared" si="9"/>
        <v/>
      </c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7" t="str">
        <f t="shared" si="9"/>
        <v/>
      </c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7" t="str">
        <f t="shared" si="9"/>
        <v/>
      </c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7" t="str">
        <f t="shared" si="9"/>
        <v/>
      </c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7" t="str">
        <f t="shared" si="9"/>
        <v/>
      </c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7" t="str">
        <f t="shared" si="9"/>
        <v/>
      </c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7" t="str">
        <f t="shared" si="9"/>
        <v/>
      </c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7" t="str">
        <f t="shared" si="9"/>
        <v/>
      </c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7" t="str">
        <f t="shared" si="9"/>
        <v/>
      </c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7" t="str">
        <f t="shared" si="9"/>
        <v/>
      </c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7" t="str">
        <f t="shared" si="9"/>
        <v/>
      </c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7" t="str">
        <f t="shared" si="9"/>
        <v/>
      </c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7" t="str">
        <f t="shared" si="9"/>
        <v/>
      </c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7" t="str">
        <f t="shared" si="9"/>
        <v/>
      </c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7" t="str">
        <f t="shared" si="9"/>
        <v/>
      </c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7" t="str">
        <f t="shared" si="9"/>
        <v/>
      </c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7" t="str">
        <f t="shared" si="9"/>
        <v/>
      </c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7" t="str">
        <f t="shared" si="9"/>
        <v/>
      </c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7" t="str">
        <f t="shared" si="9"/>
        <v/>
      </c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7" t="str">
        <f t="shared" si="9"/>
        <v/>
      </c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7" t="str">
        <f t="shared" si="9"/>
        <v/>
      </c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7" t="str">
        <f t="shared" si="9"/>
        <v/>
      </c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7" t="str">
        <f t="shared" si="9"/>
        <v/>
      </c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7" t="str">
        <f t="shared" si="9"/>
        <v/>
      </c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7" t="str">
        <f t="shared" si="9"/>
        <v/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正常" id="{B796E909-A45D-49EC-9593-ADD779ECD57B}">
            <x14:dxf>
              <font>
                <b/>
                <color rgb="FF256029"/>
              </font>
              <fill>
                <patternFill patternType="solid">
                  <fgColor rgb="FFE2F0D9"/>
                  <bgColor rgb="FFE2F0D9"/>
                </patternFill>
              </fill>
            </x14:dxf>
          </x14:cfRule>
          <xm:sqref>Q2:Q201</xm:sqref>
        </x14:conditionalFormatting>
        <x14:conditionalFormatting xmlns:xm="http://schemas.microsoft.com/office/excel/2006/main">
          <x14:cfRule type="containsText" priority="2" operator="containsText" text="待冻结" id="{B6904ED7-7DB3-4BD7-9546-B52F87B57F2A}">
            <x14:dxf>
              <font>
                <b/>
                <color rgb="FF8A4B08"/>
              </font>
              <fill>
                <patternFill patternType="solid">
                  <fgColor rgb="FFFFF4CC"/>
                  <bgColor rgb="FFFFF4CC"/>
                </patternFill>
              </fill>
            </x14:dxf>
          </x14:cfRule>
          <xm:sqref>Q2:Q201</xm:sqref>
        </x14:conditionalFormatting>
        <x14:conditionalFormatting xmlns:xm="http://schemas.microsoft.com/office/excel/2006/main">
          <x14:cfRule type="containsText" priority="3" operator="containsText" text="需" id="{7B13E9EB-53E8-4AAE-B931-1A5A978B5EFA}">
            <x14:dxf>
              <font>
                <b/>
                <color rgb="FFB42318"/>
              </font>
              <fill>
                <patternFill patternType="solid">
                  <fgColor rgb="FFFCE8E6"/>
                  <bgColor rgb="FFFCE8E6"/>
                </patternFill>
              </fill>
            </x14:dxf>
          </x14:cfRule>
          <xm:sqref>Q2:Q201</xm:sqref>
        </x14:conditionalFormatting>
        <x14:conditionalFormatting xmlns:xm="http://schemas.microsoft.com/office/excel/2006/main">
          <x14:cfRule type="containsText" priority="4" operator="containsText" text="禁止" id="{6E85A581-A620-473E-A19F-D714E82E159F}">
            <x14:dxf>
              <font>
                <b/>
                <color rgb="FFB42318"/>
              </font>
              <fill>
                <patternFill patternType="solid">
                  <fgColor rgb="FFFCE8E6"/>
                  <bgColor rgb="FFFCE8E6"/>
                </patternFill>
              </fill>
            </x14:dxf>
          </x14:cfRule>
          <xm:sqref>Q2:Q201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26D21AD2-3405-455F-95B7-A71D5D300D99}" type="list" allowBlank="0" errorStyle="stop" imeMode="noControl" operator="between" showDropDown="0" showErrorMessage="0" showInputMessage="0">
          <x14:formula1>
            <xm:f>"是,否"</xm:f>
          </x14:formula1>
          <xm:sqref>E2:E201</xm:sqref>
        </x14:dataValidation>
        <x14:dataValidation xr:uid="{826D31D9-E89C-4D7C-B40E-73BBAB37DDF5}" type="list" allowBlank="0" errorStyle="stop" imeMode="noControl" operator="between" showDropDown="0" showErrorMessage="0" showInputMessage="0">
          <x14:formula1>
            <xm:f>"是,部分,否"</xm:f>
          </x14:formula1>
          <xm:sqref>F2:F201</xm:sqref>
        </x14:dataValidation>
        <x14:dataValidation xr:uid="{7CBF571C-1A02-46C2-A8BF-EE39BF000026}" type="list" allowBlank="0" errorStyle="stop" imeMode="noControl" operator="between" showDropDown="0" showErrorMessage="0" showInputMessage="0">
          <x14:formula1>
            <xm:f>"正常,需补充,需复核"</xm:f>
          </x14:formula1>
          <xm:sqref>Q2:Q201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16"/>
    <col customWidth="1" min="2" max="2" width="30"/>
    <col customWidth="1" min="3" max="3" width="42"/>
    <col customWidth="1" min="4" max="4" width="18"/>
    <col customWidth="1" min="5" max="5" width="16"/>
    <col customWidth="1" min="6" max="7" width="40"/>
    <col customWidth="1" min="8" max="9" width="34"/>
    <col customWidth="1" min="10" max="10" width="28"/>
    <col customWidth="1" min="11" max="12" width="16"/>
    <col customWidth="1" min="13" max="13" width="24"/>
    <col customWidth="1" min="14" max="14" width="15"/>
    <col customWidth="1" min="15" max="15" width="17"/>
    <col customWidth="1" min="16" max="16" width="15"/>
    <col customWidth="1" min="17" max="17" width="24"/>
    <col customWidth="1" min="18" max="18" width="16"/>
  </cols>
  <sheetData>
    <row r="1" ht="38" customHeight="1">
      <c r="A1" s="25" t="s">
        <v>127</v>
      </c>
      <c r="B1" s="25" t="s">
        <v>128</v>
      </c>
      <c r="C1" s="25" t="s">
        <v>129</v>
      </c>
      <c r="D1" s="25" t="s">
        <v>130</v>
      </c>
      <c r="E1" s="25" t="s">
        <v>131</v>
      </c>
      <c r="F1" s="25" t="s">
        <v>132</v>
      </c>
      <c r="G1" s="25" t="s">
        <v>133</v>
      </c>
      <c r="H1" s="25" t="s">
        <v>134</v>
      </c>
      <c r="I1" s="25" t="s">
        <v>135</v>
      </c>
      <c r="J1" s="25" t="s">
        <v>136</v>
      </c>
      <c r="K1" s="25" t="s">
        <v>137</v>
      </c>
      <c r="L1" s="25" t="s">
        <v>138</v>
      </c>
      <c r="M1" s="25" t="s">
        <v>139</v>
      </c>
      <c r="N1" s="25" t="s">
        <v>140</v>
      </c>
      <c r="O1" s="25" t="s">
        <v>141</v>
      </c>
      <c r="P1" s="25" t="s">
        <v>142</v>
      </c>
      <c r="Q1" s="25" t="s">
        <v>143</v>
      </c>
      <c r="R1" s="25" t="s">
        <v>112</v>
      </c>
    </row>
    <row r="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7" t="str">
        <f t="shared" ref="R2:R9" si="10">IF(A2="","",IF(OR(B2="",C2="",D2="",E2="",K2="",N2="",P2="",Q2=""),"需补充",IF(AND(K2="使用中",OR(F2="",G2="",H2="",I2="")),"需复核","正常")))</f>
        <v/>
      </c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7" t="str">
        <f t="shared" si="10"/>
        <v/>
      </c>
    </row>
    <row r="4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7" t="str">
        <f t="shared" si="10"/>
        <v/>
      </c>
    </row>
    <row r="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 t="str">
        <f t="shared" si="10"/>
        <v/>
      </c>
    </row>
    <row r="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7" t="str">
        <f t="shared" si="10"/>
        <v/>
      </c>
    </row>
    <row r="7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 t="str">
        <f t="shared" si="10"/>
        <v/>
      </c>
    </row>
    <row r="8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7" t="str">
        <f t="shared" si="10"/>
        <v/>
      </c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7" t="str">
        <f t="shared" si="10"/>
        <v/>
      </c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7" t="str">
        <f t="shared" ref="R10:R73" si="11">IF(A10="","",IF(OR(B10="",C10="",D10="",E10="",K10="",N10="",P10="",Q10=""),"需补充",IF(AND(K10="使用中",OR(F10="",G10="",H10="",I10="")),"需复核","正常")))</f>
        <v/>
      </c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7" t="str">
        <f t="shared" si="11"/>
        <v/>
      </c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7" t="str">
        <f t="shared" si="11"/>
        <v/>
      </c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7" t="str">
        <f t="shared" si="11"/>
        <v/>
      </c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7" t="str">
        <f t="shared" si="11"/>
        <v/>
      </c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7" t="str">
        <f t="shared" si="11"/>
        <v/>
      </c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7" t="str">
        <f t="shared" si="11"/>
        <v/>
      </c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7" t="str">
        <f t="shared" si="11"/>
        <v/>
      </c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7" t="str">
        <f t="shared" si="11"/>
        <v/>
      </c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7" t="str">
        <f t="shared" si="11"/>
        <v/>
      </c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7" t="str">
        <f t="shared" si="11"/>
        <v/>
      </c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7" t="str">
        <f t="shared" si="11"/>
        <v/>
      </c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7" t="str">
        <f t="shared" si="11"/>
        <v/>
      </c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7" t="str">
        <f t="shared" si="11"/>
        <v/>
      </c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7" t="str">
        <f t="shared" si="11"/>
        <v/>
      </c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7" t="str">
        <f t="shared" si="11"/>
        <v/>
      </c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7" t="str">
        <f t="shared" si="11"/>
        <v/>
      </c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7" t="str">
        <f t="shared" si="11"/>
        <v/>
      </c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7" t="str">
        <f t="shared" si="11"/>
        <v/>
      </c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7" t="str">
        <f t="shared" si="11"/>
        <v/>
      </c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7" t="str">
        <f t="shared" si="11"/>
        <v/>
      </c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7" t="str">
        <f t="shared" si="11"/>
        <v/>
      </c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7" t="str">
        <f t="shared" si="11"/>
        <v/>
      </c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7" t="str">
        <f t="shared" si="11"/>
        <v/>
      </c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7" t="str">
        <f t="shared" si="11"/>
        <v/>
      </c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7" t="str">
        <f t="shared" si="11"/>
        <v/>
      </c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7" t="str">
        <f t="shared" si="11"/>
        <v/>
      </c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7" t="str">
        <f t="shared" si="11"/>
        <v/>
      </c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7" t="str">
        <f t="shared" si="11"/>
        <v/>
      </c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7" t="str">
        <f t="shared" si="11"/>
        <v/>
      </c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7" t="str">
        <f t="shared" si="11"/>
        <v/>
      </c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7" t="str">
        <f t="shared" si="11"/>
        <v/>
      </c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7" t="str">
        <f t="shared" si="11"/>
        <v/>
      </c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7" t="str">
        <f t="shared" si="11"/>
        <v/>
      </c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7" t="str">
        <f t="shared" si="11"/>
        <v/>
      </c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7" t="str">
        <f t="shared" si="11"/>
        <v/>
      </c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7" t="str">
        <f t="shared" si="11"/>
        <v/>
      </c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7" t="str">
        <f t="shared" si="11"/>
        <v/>
      </c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7" t="str">
        <f t="shared" si="11"/>
        <v/>
      </c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7" t="str">
        <f t="shared" si="11"/>
        <v/>
      </c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7" t="str">
        <f t="shared" si="11"/>
        <v/>
      </c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7" t="str">
        <f t="shared" si="11"/>
        <v/>
      </c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7" t="str">
        <f t="shared" si="11"/>
        <v/>
      </c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7" t="str">
        <f t="shared" si="11"/>
        <v/>
      </c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7" t="str">
        <f t="shared" si="11"/>
        <v/>
      </c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7" t="str">
        <f t="shared" si="11"/>
        <v/>
      </c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7" t="str">
        <f t="shared" si="11"/>
        <v/>
      </c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7" t="str">
        <f t="shared" si="11"/>
        <v/>
      </c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7" t="str">
        <f t="shared" si="11"/>
        <v/>
      </c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7" t="str">
        <f t="shared" si="11"/>
        <v/>
      </c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7" t="str">
        <f t="shared" si="11"/>
        <v/>
      </c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7" t="str">
        <f t="shared" si="11"/>
        <v/>
      </c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7" t="str">
        <f t="shared" si="11"/>
        <v/>
      </c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7" t="str">
        <f t="shared" si="11"/>
        <v/>
      </c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7" t="str">
        <f t="shared" si="11"/>
        <v/>
      </c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7" t="str">
        <f t="shared" si="11"/>
        <v/>
      </c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7" t="str">
        <f t="shared" si="11"/>
        <v/>
      </c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7" t="str">
        <f t="shared" si="11"/>
        <v/>
      </c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7" t="str">
        <f t="shared" si="11"/>
        <v/>
      </c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7" t="str">
        <f t="shared" si="11"/>
        <v/>
      </c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7" t="str">
        <f t="shared" si="11"/>
        <v/>
      </c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7" t="str">
        <f t="shared" si="11"/>
        <v/>
      </c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7" t="str">
        <f t="shared" si="11"/>
        <v/>
      </c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7" t="str">
        <f t="shared" si="11"/>
        <v/>
      </c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7" t="str">
        <f t="shared" ref="R74:R99" si="12">IF(A74="","",IF(OR(B74="",C74="",D74="",E74="",K74="",N74="",P74="",Q74=""),"需补充",IF(AND(K74="使用中",OR(F74="",G74="",H74="",I74="")),"需复核","正常")))</f>
        <v/>
      </c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7" t="str">
        <f t="shared" si="12"/>
        <v/>
      </c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7" t="str">
        <f t="shared" si="12"/>
        <v/>
      </c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7" t="str">
        <f t="shared" si="12"/>
        <v/>
      </c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7" t="str">
        <f t="shared" si="12"/>
        <v/>
      </c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7" t="str">
        <f t="shared" si="12"/>
        <v/>
      </c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7" t="str">
        <f t="shared" si="12"/>
        <v/>
      </c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7" t="str">
        <f t="shared" si="12"/>
        <v/>
      </c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7" t="str">
        <f t="shared" si="12"/>
        <v/>
      </c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7" t="str">
        <f t="shared" si="12"/>
        <v/>
      </c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7" t="str">
        <f t="shared" si="12"/>
        <v/>
      </c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7" t="str">
        <f t="shared" si="12"/>
        <v/>
      </c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7" t="str">
        <f t="shared" si="12"/>
        <v/>
      </c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7" t="str">
        <f t="shared" si="12"/>
        <v/>
      </c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7" t="str">
        <f t="shared" si="12"/>
        <v/>
      </c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7" t="str">
        <f t="shared" si="12"/>
        <v/>
      </c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7" t="str">
        <f t="shared" si="12"/>
        <v/>
      </c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7" t="str">
        <f t="shared" si="12"/>
        <v/>
      </c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7" t="str">
        <f t="shared" si="12"/>
        <v/>
      </c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7" t="str">
        <f t="shared" si="12"/>
        <v/>
      </c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7" t="str">
        <f t="shared" si="12"/>
        <v/>
      </c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7" t="str">
        <f t="shared" si="12"/>
        <v/>
      </c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7" t="str">
        <f t="shared" si="12"/>
        <v/>
      </c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7" t="str">
        <f t="shared" si="12"/>
        <v/>
      </c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7" t="str">
        <f t="shared" si="12"/>
        <v/>
      </c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7" t="str">
        <f t="shared" si="12"/>
        <v/>
      </c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7" t="str">
        <f t="shared" ref="R100:R163" si="13">IF(A100="","",IF(OR(B100="",C100="",D100="",E100="",K100="",N100="",P100="",Q100=""),"需补充",IF(AND(K100="使用中",OR(F100="",G100="",H100="",I100="")),"需复核","正常")))</f>
        <v/>
      </c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7" t="str">
        <f t="shared" si="13"/>
        <v/>
      </c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7" t="str">
        <f t="shared" si="13"/>
        <v/>
      </c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7" t="str">
        <f t="shared" si="13"/>
        <v/>
      </c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7" t="str">
        <f t="shared" si="13"/>
        <v/>
      </c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7" t="str">
        <f t="shared" si="13"/>
        <v/>
      </c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7" t="str">
        <f t="shared" si="13"/>
        <v/>
      </c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7" t="str">
        <f t="shared" si="13"/>
        <v/>
      </c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7" t="str">
        <f t="shared" si="13"/>
        <v/>
      </c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7" t="str">
        <f t="shared" si="13"/>
        <v/>
      </c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7" t="str">
        <f t="shared" si="13"/>
        <v/>
      </c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7" t="str">
        <f t="shared" si="13"/>
        <v/>
      </c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7" t="str">
        <f t="shared" si="13"/>
        <v/>
      </c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7" t="str">
        <f t="shared" si="13"/>
        <v/>
      </c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7" t="str">
        <f t="shared" si="13"/>
        <v/>
      </c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7" t="str">
        <f t="shared" si="13"/>
        <v/>
      </c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7" t="str">
        <f t="shared" si="13"/>
        <v/>
      </c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7" t="str">
        <f t="shared" si="13"/>
        <v/>
      </c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7" t="str">
        <f t="shared" si="13"/>
        <v/>
      </c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7" t="str">
        <f t="shared" si="13"/>
        <v/>
      </c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7" t="str">
        <f t="shared" si="13"/>
        <v/>
      </c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7" t="str">
        <f t="shared" si="13"/>
        <v/>
      </c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7" t="str">
        <f t="shared" si="13"/>
        <v/>
      </c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7" t="str">
        <f t="shared" si="13"/>
        <v/>
      </c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7" t="str">
        <f t="shared" si="13"/>
        <v/>
      </c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7" t="str">
        <f t="shared" si="13"/>
        <v/>
      </c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7" t="str">
        <f t="shared" si="13"/>
        <v/>
      </c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7" t="str">
        <f t="shared" si="13"/>
        <v/>
      </c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7" t="str">
        <f t="shared" si="13"/>
        <v/>
      </c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7" t="str">
        <f t="shared" si="13"/>
        <v/>
      </c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7" t="str">
        <f t="shared" si="13"/>
        <v/>
      </c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7" t="str">
        <f t="shared" si="13"/>
        <v/>
      </c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7" t="str">
        <f t="shared" si="13"/>
        <v/>
      </c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7" t="str">
        <f t="shared" si="13"/>
        <v/>
      </c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7" t="str">
        <f t="shared" si="13"/>
        <v/>
      </c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7" t="str">
        <f t="shared" si="13"/>
        <v/>
      </c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7" t="str">
        <f t="shared" si="13"/>
        <v/>
      </c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7" t="str">
        <f t="shared" si="13"/>
        <v/>
      </c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7" t="str">
        <f t="shared" si="13"/>
        <v/>
      </c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7" t="str">
        <f t="shared" si="13"/>
        <v/>
      </c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7" t="str">
        <f t="shared" si="13"/>
        <v/>
      </c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7" t="str">
        <f t="shared" si="13"/>
        <v/>
      </c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7" t="str">
        <f t="shared" si="13"/>
        <v/>
      </c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7" t="str">
        <f t="shared" si="13"/>
        <v/>
      </c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7" t="str">
        <f t="shared" si="13"/>
        <v/>
      </c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7" t="str">
        <f t="shared" si="13"/>
        <v/>
      </c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7" t="str">
        <f t="shared" si="13"/>
        <v/>
      </c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7" t="str">
        <f t="shared" si="13"/>
        <v/>
      </c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7" t="str">
        <f t="shared" si="13"/>
        <v/>
      </c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7" t="str">
        <f t="shared" si="13"/>
        <v/>
      </c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7" t="str">
        <f t="shared" si="13"/>
        <v/>
      </c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7" t="str">
        <f t="shared" si="13"/>
        <v/>
      </c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7" t="str">
        <f t="shared" si="13"/>
        <v/>
      </c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7" t="str">
        <f t="shared" si="13"/>
        <v/>
      </c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7" t="str">
        <f t="shared" si="13"/>
        <v/>
      </c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7" t="str">
        <f t="shared" si="13"/>
        <v/>
      </c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7" t="str">
        <f t="shared" si="13"/>
        <v/>
      </c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7" t="str">
        <f t="shared" si="13"/>
        <v/>
      </c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7" t="str">
        <f t="shared" si="13"/>
        <v/>
      </c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7" t="str">
        <f t="shared" si="13"/>
        <v/>
      </c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7" t="str">
        <f t="shared" si="13"/>
        <v/>
      </c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7" t="str">
        <f t="shared" si="13"/>
        <v/>
      </c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7" t="str">
        <f t="shared" si="13"/>
        <v/>
      </c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7" t="str">
        <f t="shared" si="13"/>
        <v/>
      </c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7" t="str">
        <f t="shared" ref="R164:R201" si="14">IF(A164="","",IF(OR(B164="",C164="",D164="",E164="",K164="",N164="",P164="",Q164=""),"需补充",IF(AND(K164="使用中",OR(F164="",G164="",H164="",I164="")),"需复核","正常")))</f>
        <v/>
      </c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7" t="str">
        <f t="shared" si="14"/>
        <v/>
      </c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7" t="str">
        <f t="shared" si="14"/>
        <v/>
      </c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7" t="str">
        <f t="shared" si="14"/>
        <v/>
      </c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7" t="str">
        <f t="shared" si="14"/>
        <v/>
      </c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7" t="str">
        <f t="shared" si="14"/>
        <v/>
      </c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7" t="str">
        <f t="shared" si="14"/>
        <v/>
      </c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7" t="str">
        <f t="shared" si="14"/>
        <v/>
      </c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7" t="str">
        <f t="shared" si="14"/>
        <v/>
      </c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7" t="str">
        <f t="shared" si="14"/>
        <v/>
      </c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7" t="str">
        <f t="shared" si="14"/>
        <v/>
      </c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7" t="str">
        <f t="shared" si="14"/>
        <v/>
      </c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7" t="str">
        <f t="shared" si="14"/>
        <v/>
      </c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7" t="str">
        <f t="shared" si="14"/>
        <v/>
      </c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7" t="str">
        <f t="shared" si="14"/>
        <v/>
      </c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7" t="str">
        <f t="shared" si="14"/>
        <v/>
      </c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7" t="str">
        <f t="shared" si="14"/>
        <v/>
      </c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7" t="str">
        <f t="shared" si="14"/>
        <v/>
      </c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7" t="str">
        <f t="shared" si="14"/>
        <v/>
      </c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7" t="str">
        <f t="shared" si="14"/>
        <v/>
      </c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7" t="str">
        <f t="shared" si="14"/>
        <v/>
      </c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7" t="str">
        <f t="shared" si="14"/>
        <v/>
      </c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7" t="str">
        <f t="shared" si="14"/>
        <v/>
      </c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7" t="str">
        <f t="shared" si="14"/>
        <v/>
      </c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7" t="str">
        <f t="shared" si="14"/>
        <v/>
      </c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7" t="str">
        <f t="shared" si="14"/>
        <v/>
      </c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7" t="str">
        <f t="shared" si="14"/>
        <v/>
      </c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7" t="str">
        <f t="shared" si="14"/>
        <v/>
      </c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7" t="str">
        <f t="shared" si="14"/>
        <v/>
      </c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7" t="str">
        <f t="shared" si="14"/>
        <v/>
      </c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7" t="str">
        <f t="shared" si="14"/>
        <v/>
      </c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7" t="str">
        <f t="shared" si="14"/>
        <v/>
      </c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7" t="str">
        <f t="shared" si="14"/>
        <v/>
      </c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7" t="str">
        <f t="shared" si="14"/>
        <v/>
      </c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7" t="str">
        <f t="shared" si="14"/>
        <v/>
      </c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7" t="str">
        <f t="shared" si="14"/>
        <v/>
      </c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7" t="str">
        <f t="shared" si="14"/>
        <v/>
      </c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7" t="str">
        <f t="shared" si="14"/>
        <v/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正常" id="{A6BC1F39-C35E-4FB9-9DEB-795B08260277}">
            <x14:dxf>
              <font>
                <b/>
                <color rgb="FF256029"/>
              </font>
              <fill>
                <patternFill patternType="solid">
                  <fgColor rgb="FFE2F0D9"/>
                  <bgColor rgb="FFE2F0D9"/>
                </patternFill>
              </fill>
            </x14:dxf>
          </x14:cfRule>
          <xm:sqref>R2:R201</xm:sqref>
        </x14:conditionalFormatting>
        <x14:conditionalFormatting xmlns:xm="http://schemas.microsoft.com/office/excel/2006/main">
          <x14:cfRule type="containsText" priority="2" operator="containsText" text="待冻结" id="{3D521B01-3160-4665-AD59-130DF698EE1E}">
            <x14:dxf>
              <font>
                <b/>
                <color rgb="FF8A4B08"/>
              </font>
              <fill>
                <patternFill patternType="solid">
                  <fgColor rgb="FFFFF4CC"/>
                  <bgColor rgb="FFFFF4CC"/>
                </patternFill>
              </fill>
            </x14:dxf>
          </x14:cfRule>
          <xm:sqref>R2:R201</xm:sqref>
        </x14:conditionalFormatting>
        <x14:conditionalFormatting xmlns:xm="http://schemas.microsoft.com/office/excel/2006/main">
          <x14:cfRule type="containsText" priority="3" operator="containsText" text="需" id="{F9BB641C-352E-44FA-ADA6-8395B730AB8C}">
            <x14:dxf>
              <font>
                <b/>
                <color rgb="FFB42318"/>
              </font>
              <fill>
                <patternFill patternType="solid">
                  <fgColor rgb="FFFCE8E6"/>
                  <bgColor rgb="FFFCE8E6"/>
                </patternFill>
              </fill>
            </x14:dxf>
          </x14:cfRule>
          <xm:sqref>R2:R201</xm:sqref>
        </x14:conditionalFormatting>
        <x14:conditionalFormatting xmlns:xm="http://schemas.microsoft.com/office/excel/2006/main">
          <x14:cfRule type="containsText" priority="4" operator="containsText" text="禁止" id="{4E6BE808-18BD-4A9B-80F7-614CFE287708}">
            <x14:dxf>
              <font>
                <b/>
                <color rgb="FFB42318"/>
              </font>
              <fill>
                <patternFill patternType="solid">
                  <fgColor rgb="FFFCE8E6"/>
                  <bgColor rgb="FFFCE8E6"/>
                </patternFill>
              </fill>
            </x14:dxf>
          </x14:cfRule>
          <xm:sqref>R2:R201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xr:uid="{5494A0CD-9F4B-4C7A-80AE-2BA8D17FE9CA}" type="list" allowBlank="0" errorStyle="stop" imeMode="noControl" operator="between" showDropDown="0" showErrorMessage="0" showInputMessage="0">
          <x14:formula1>
            <xm:f>"理论驱动,数据驱动,混合来源"</xm:f>
          </x14:formula1>
          <xm:sqref>D2:D201</xm:sqref>
        </x14:dataValidation>
        <x14:dataValidation xr:uid="{0F5FE023-39FC-4CD3-872D-3EECCD2FB4EA}" type="list" allowBlank="0" errorStyle="stop" imeMode="noControl" operator="between" showDropDown="0" showErrorMessage="0" showInputMessage="0">
          <x14:formula1>
            <xm:f>"语义层,潜在层,两者"</xm:f>
          </x14:formula1>
          <xm:sqref>E2:E201</xm:sqref>
        </x14:dataValidation>
        <x14:dataValidation xr:uid="{AA62EDE6-21D0-4859-BDED-81BF70FE9AAD}" type="list" allowBlank="0" errorStyle="stop" imeMode="noControl" operator="between" showDropDown="0" showErrorMessage="0" showInputMessage="0">
          <x14:formula1>
            <xm:f>"拟议,使用中,已合并,已拆分,已停用"</xm:f>
          </x14:formula1>
          <xm:sqref>K2:K201</xm:sqref>
        </x14:dataValidation>
        <x14:dataValidation xr:uid="{AE183829-E237-45F4-9F6C-17C3917C5CF3}" type="list" allowBlank="0" errorStyle="stop" imeMode="noControl" operator="between" showDropDown="0" showErrorMessage="0" showInputMessage="0">
          <x14:formula1>
            <xm:f>"正常,需补充,需复核"</xm:f>
          </x14:formula1>
          <xm:sqref>R2:R201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3" width="18"/>
    <col customWidth="1" min="4" max="4" width="22"/>
    <col customWidth="1" min="5" max="5" width="16"/>
    <col customWidth="1" min="6" max="6" width="30"/>
    <col customWidth="1" min="7" max="8" width="14"/>
    <col customWidth="1" min="9" max="9" width="25"/>
    <col customWidth="1" min="10" max="10" width="40"/>
    <col customWidth="1" min="11" max="11" width="42"/>
    <col customWidth="1" min="12" max="12" width="37"/>
    <col customWidth="1" min="13" max="14" width="18"/>
    <col customWidth="1" min="15" max="16" width="15"/>
    <col customWidth="1" min="17" max="17" width="17"/>
    <col customWidth="1" min="18" max="19" width="24"/>
  </cols>
  <sheetData>
    <row r="1" ht="38" customHeight="1">
      <c r="A1" s="25" t="s">
        <v>144</v>
      </c>
      <c r="B1" s="25" t="s">
        <v>98</v>
      </c>
      <c r="C1" s="25" t="s">
        <v>99</v>
      </c>
      <c r="D1" s="25" t="s">
        <v>145</v>
      </c>
      <c r="E1" s="25" t="s">
        <v>127</v>
      </c>
      <c r="F1" s="25" t="s">
        <v>146</v>
      </c>
      <c r="G1" s="25" t="s">
        <v>147</v>
      </c>
      <c r="H1" s="25" t="s">
        <v>148</v>
      </c>
      <c r="I1" s="25" t="s">
        <v>149</v>
      </c>
      <c r="J1" s="25" t="s">
        <v>150</v>
      </c>
      <c r="K1" s="25" t="s">
        <v>151</v>
      </c>
      <c r="L1" s="25" t="s">
        <v>152</v>
      </c>
      <c r="M1" s="25" t="s">
        <v>153</v>
      </c>
      <c r="N1" s="25" t="s">
        <v>154</v>
      </c>
      <c r="O1" s="25" t="s">
        <v>114</v>
      </c>
      <c r="P1" s="25" t="s">
        <v>140</v>
      </c>
      <c r="Q1" s="25" t="s">
        <v>107</v>
      </c>
      <c r="R1" s="25" t="s">
        <v>155</v>
      </c>
      <c r="S1" s="25" t="s">
        <v>112</v>
      </c>
    </row>
    <row r="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7" t="str">
        <f t="shared" ref="S2:S9" si="15">IF(A2="","",IF(OR(B2="",C2="",D2="",E2="",F2="",I2="",J2="",K2="",M2="",N2="",O2="",P2="",Q2="",R2=""),"需补充",IF(OR(G2="",H2=""),"试用正常/偏移量待冻结","正常")))</f>
        <v/>
      </c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7" t="str">
        <f t="shared" si="15"/>
        <v/>
      </c>
    </row>
    <row r="4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7" t="str">
        <f t="shared" si="15"/>
        <v/>
      </c>
    </row>
    <row r="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7" t="str">
        <f t="shared" si="15"/>
        <v/>
      </c>
    </row>
    <row r="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7" t="str">
        <f t="shared" si="15"/>
        <v/>
      </c>
    </row>
    <row r="7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7" t="str">
        <f t="shared" si="15"/>
        <v/>
      </c>
    </row>
    <row r="8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7" t="str">
        <f t="shared" si="15"/>
        <v/>
      </c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7" t="str">
        <f t="shared" si="15"/>
        <v/>
      </c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7" t="str">
        <f t="shared" ref="S10:S73" si="16">IF(A10="","",IF(OR(B10="",C10="",D10="",E10="",F10="",I10="",J10="",K10="",M10="",N10="",O10="",P10="",Q10="",R10=""),"需补充",IF(OR(G10="",H10=""),"试用正常/偏移量待冻结","正常")))</f>
        <v/>
      </c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7" t="str">
        <f t="shared" si="16"/>
        <v/>
      </c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7" t="str">
        <f t="shared" si="16"/>
        <v/>
      </c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7" t="str">
        <f t="shared" si="16"/>
        <v/>
      </c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7" t="str">
        <f t="shared" si="16"/>
        <v/>
      </c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7" t="str">
        <f t="shared" si="16"/>
        <v/>
      </c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7" t="str">
        <f t="shared" si="16"/>
        <v/>
      </c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7" t="str">
        <f t="shared" si="16"/>
        <v/>
      </c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7" t="str">
        <f t="shared" si="16"/>
        <v/>
      </c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7" t="str">
        <f t="shared" si="16"/>
        <v/>
      </c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7" t="str">
        <f t="shared" si="16"/>
        <v/>
      </c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7" t="str">
        <f t="shared" si="16"/>
        <v/>
      </c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7" t="str">
        <f t="shared" si="16"/>
        <v/>
      </c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7" t="str">
        <f t="shared" si="16"/>
        <v/>
      </c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7" t="str">
        <f t="shared" si="16"/>
        <v/>
      </c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7" t="str">
        <f t="shared" si="16"/>
        <v/>
      </c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7" t="str">
        <f t="shared" si="16"/>
        <v/>
      </c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7" t="str">
        <f t="shared" si="16"/>
        <v/>
      </c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7" t="str">
        <f t="shared" si="16"/>
        <v/>
      </c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7" t="str">
        <f t="shared" si="16"/>
        <v/>
      </c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7" t="str">
        <f t="shared" si="16"/>
        <v/>
      </c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7" t="str">
        <f t="shared" si="16"/>
        <v/>
      </c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7" t="str">
        <f t="shared" si="16"/>
        <v/>
      </c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7" t="str">
        <f t="shared" si="16"/>
        <v/>
      </c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7" t="str">
        <f t="shared" si="16"/>
        <v/>
      </c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7" t="str">
        <f t="shared" si="16"/>
        <v/>
      </c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7" t="str">
        <f t="shared" si="16"/>
        <v/>
      </c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7" t="str">
        <f t="shared" si="16"/>
        <v/>
      </c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7" t="str">
        <f t="shared" si="16"/>
        <v/>
      </c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7" t="str">
        <f t="shared" si="16"/>
        <v/>
      </c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7" t="str">
        <f t="shared" si="16"/>
        <v/>
      </c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7" t="str">
        <f t="shared" si="16"/>
        <v/>
      </c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7" t="str">
        <f t="shared" si="16"/>
        <v/>
      </c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7" t="str">
        <f t="shared" si="16"/>
        <v/>
      </c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7" t="str">
        <f t="shared" si="16"/>
        <v/>
      </c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7" t="str">
        <f t="shared" si="16"/>
        <v/>
      </c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7" t="str">
        <f t="shared" si="16"/>
        <v/>
      </c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7" t="str">
        <f t="shared" si="16"/>
        <v/>
      </c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7" t="str">
        <f t="shared" si="16"/>
        <v/>
      </c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7" t="str">
        <f t="shared" si="16"/>
        <v/>
      </c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7" t="str">
        <f t="shared" si="16"/>
        <v/>
      </c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7" t="str">
        <f t="shared" si="16"/>
        <v/>
      </c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7" t="str">
        <f t="shared" si="16"/>
        <v/>
      </c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7" t="str">
        <f t="shared" si="16"/>
        <v/>
      </c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7" t="str">
        <f t="shared" si="16"/>
        <v/>
      </c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7" t="str">
        <f t="shared" si="16"/>
        <v/>
      </c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7" t="str">
        <f t="shared" si="16"/>
        <v/>
      </c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7" t="str">
        <f t="shared" si="16"/>
        <v/>
      </c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7" t="str">
        <f t="shared" si="16"/>
        <v/>
      </c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7" t="str">
        <f t="shared" si="16"/>
        <v/>
      </c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7" t="str">
        <f t="shared" si="16"/>
        <v/>
      </c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7" t="str">
        <f t="shared" si="16"/>
        <v/>
      </c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7" t="str">
        <f t="shared" si="16"/>
        <v/>
      </c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7" t="str">
        <f t="shared" si="16"/>
        <v/>
      </c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7" t="str">
        <f t="shared" si="16"/>
        <v/>
      </c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7" t="str">
        <f t="shared" si="16"/>
        <v/>
      </c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7" t="str">
        <f t="shared" si="16"/>
        <v/>
      </c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7" t="str">
        <f t="shared" si="16"/>
        <v/>
      </c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7" t="str">
        <f t="shared" si="16"/>
        <v/>
      </c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7" t="str">
        <f t="shared" si="16"/>
        <v/>
      </c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7" t="str">
        <f t="shared" si="16"/>
        <v/>
      </c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7" t="str">
        <f t="shared" si="16"/>
        <v/>
      </c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7" t="str">
        <f t="shared" si="16"/>
        <v/>
      </c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7" t="str">
        <f t="shared" si="16"/>
        <v/>
      </c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7" t="str">
        <f t="shared" ref="S74:S99" si="17">IF(A74="","",IF(OR(B74="",C74="",D74="",E74="",F74="",I74="",J74="",K74="",M74="",N74="",O74="",P74="",Q74="",R74=""),"需补充",IF(OR(G74="",H74=""),"试用正常/偏移量待冻结","正常")))</f>
        <v/>
      </c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7" t="str">
        <f t="shared" si="17"/>
        <v/>
      </c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7" t="str">
        <f t="shared" si="17"/>
        <v/>
      </c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7" t="str">
        <f t="shared" si="17"/>
        <v/>
      </c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7" t="str">
        <f t="shared" si="17"/>
        <v/>
      </c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7" t="str">
        <f t="shared" si="17"/>
        <v/>
      </c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7" t="str">
        <f t="shared" si="17"/>
        <v/>
      </c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7" t="str">
        <f t="shared" si="17"/>
        <v/>
      </c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7" t="str">
        <f t="shared" si="17"/>
        <v/>
      </c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7" t="str">
        <f t="shared" si="17"/>
        <v/>
      </c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7" t="str">
        <f t="shared" si="17"/>
        <v/>
      </c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7" t="str">
        <f t="shared" si="17"/>
        <v/>
      </c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7" t="str">
        <f t="shared" si="17"/>
        <v/>
      </c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7" t="str">
        <f t="shared" si="17"/>
        <v/>
      </c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7" t="str">
        <f t="shared" si="17"/>
        <v/>
      </c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7" t="str">
        <f t="shared" si="17"/>
        <v/>
      </c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7" t="str">
        <f t="shared" si="17"/>
        <v/>
      </c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7" t="str">
        <f t="shared" si="17"/>
        <v/>
      </c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7" t="str">
        <f t="shared" si="17"/>
        <v/>
      </c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7" t="str">
        <f t="shared" si="17"/>
        <v/>
      </c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7" t="str">
        <f t="shared" si="17"/>
        <v/>
      </c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7" t="str">
        <f t="shared" si="17"/>
        <v/>
      </c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7" t="str">
        <f t="shared" si="17"/>
        <v/>
      </c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7" t="str">
        <f t="shared" si="17"/>
        <v/>
      </c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7" t="str">
        <f t="shared" si="17"/>
        <v/>
      </c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7" t="str">
        <f t="shared" si="17"/>
        <v/>
      </c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7" t="str">
        <f t="shared" ref="S100:S163" si="18">IF(A100="","",IF(OR(B100="",C100="",D100="",E100="",F100="",I100="",J100="",K100="",M100="",N100="",O100="",P100="",Q100="",R100=""),"需补充",IF(OR(G100="",H100=""),"试用正常/偏移量待冻结","正常")))</f>
        <v/>
      </c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7" t="str">
        <f t="shared" si="18"/>
        <v/>
      </c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7" t="str">
        <f t="shared" si="18"/>
        <v/>
      </c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7" t="str">
        <f t="shared" si="18"/>
        <v/>
      </c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7" t="str">
        <f t="shared" si="18"/>
        <v/>
      </c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7" t="str">
        <f t="shared" si="18"/>
        <v/>
      </c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7" t="str">
        <f t="shared" si="18"/>
        <v/>
      </c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7" t="str">
        <f t="shared" si="18"/>
        <v/>
      </c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7" t="str">
        <f t="shared" si="18"/>
        <v/>
      </c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7" t="str">
        <f t="shared" si="18"/>
        <v/>
      </c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7" t="str">
        <f t="shared" si="18"/>
        <v/>
      </c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7" t="str">
        <f t="shared" si="18"/>
        <v/>
      </c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7" t="str">
        <f t="shared" si="18"/>
        <v/>
      </c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7" t="str">
        <f t="shared" si="18"/>
        <v/>
      </c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7" t="str">
        <f t="shared" si="18"/>
        <v/>
      </c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7" t="str">
        <f t="shared" si="18"/>
        <v/>
      </c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7" t="str">
        <f t="shared" si="18"/>
        <v/>
      </c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7" t="str">
        <f t="shared" si="18"/>
        <v/>
      </c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7" t="str">
        <f t="shared" si="18"/>
        <v/>
      </c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7" t="str">
        <f t="shared" si="18"/>
        <v/>
      </c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7" t="str">
        <f t="shared" si="18"/>
        <v/>
      </c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7" t="str">
        <f t="shared" si="18"/>
        <v/>
      </c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7" t="str">
        <f t="shared" si="18"/>
        <v/>
      </c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7" t="str">
        <f t="shared" si="18"/>
        <v/>
      </c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7" t="str">
        <f t="shared" si="18"/>
        <v/>
      </c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7" t="str">
        <f t="shared" si="18"/>
        <v/>
      </c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7" t="str">
        <f t="shared" si="18"/>
        <v/>
      </c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7" t="str">
        <f t="shared" si="18"/>
        <v/>
      </c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7" t="str">
        <f t="shared" si="18"/>
        <v/>
      </c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7" t="str">
        <f t="shared" si="18"/>
        <v/>
      </c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7" t="str">
        <f t="shared" si="18"/>
        <v/>
      </c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7" t="str">
        <f t="shared" si="18"/>
        <v/>
      </c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7" t="str">
        <f t="shared" si="18"/>
        <v/>
      </c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7" t="str">
        <f t="shared" si="18"/>
        <v/>
      </c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7" t="str">
        <f t="shared" si="18"/>
        <v/>
      </c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7" t="str">
        <f t="shared" si="18"/>
        <v/>
      </c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7" t="str">
        <f t="shared" si="18"/>
        <v/>
      </c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7" t="str">
        <f t="shared" si="18"/>
        <v/>
      </c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7" t="str">
        <f t="shared" si="18"/>
        <v/>
      </c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7" t="str">
        <f t="shared" si="18"/>
        <v/>
      </c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7" t="str">
        <f t="shared" si="18"/>
        <v/>
      </c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7" t="str">
        <f t="shared" si="18"/>
        <v/>
      </c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7" t="str">
        <f t="shared" si="18"/>
        <v/>
      </c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7" t="str">
        <f t="shared" si="18"/>
        <v/>
      </c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7" t="str">
        <f t="shared" si="18"/>
        <v/>
      </c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7" t="str">
        <f t="shared" si="18"/>
        <v/>
      </c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7" t="str">
        <f t="shared" si="18"/>
        <v/>
      </c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7" t="str">
        <f t="shared" si="18"/>
        <v/>
      </c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7" t="str">
        <f t="shared" si="18"/>
        <v/>
      </c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7" t="str">
        <f t="shared" si="18"/>
        <v/>
      </c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7" t="str">
        <f t="shared" si="18"/>
        <v/>
      </c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7" t="str">
        <f t="shared" si="18"/>
        <v/>
      </c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7" t="str">
        <f t="shared" si="18"/>
        <v/>
      </c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7" t="str">
        <f t="shared" si="18"/>
        <v/>
      </c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7" t="str">
        <f t="shared" si="18"/>
        <v/>
      </c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7" t="str">
        <f t="shared" si="18"/>
        <v/>
      </c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7" t="str">
        <f t="shared" si="18"/>
        <v/>
      </c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7" t="str">
        <f t="shared" si="18"/>
        <v/>
      </c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7" t="str">
        <f t="shared" si="18"/>
        <v/>
      </c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7" t="str">
        <f t="shared" si="18"/>
        <v/>
      </c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7" t="str">
        <f t="shared" si="18"/>
        <v/>
      </c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7" t="str">
        <f t="shared" si="18"/>
        <v/>
      </c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7" t="str">
        <f t="shared" si="18"/>
        <v/>
      </c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7" t="str">
        <f t="shared" si="18"/>
        <v/>
      </c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7" t="str">
        <f t="shared" ref="S164:S227" si="19">IF(A164="","",IF(OR(B164="",C164="",D164="",E164="",F164="",I164="",J164="",K164="",M164="",N164="",O164="",P164="",Q164="",R164=""),"需补充",IF(OR(G164="",H164=""),"试用正常/偏移量待冻结","正常")))</f>
        <v/>
      </c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7" t="str">
        <f t="shared" si="19"/>
        <v/>
      </c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7" t="str">
        <f t="shared" si="19"/>
        <v/>
      </c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7" t="str">
        <f t="shared" si="19"/>
        <v/>
      </c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7" t="str">
        <f t="shared" si="19"/>
        <v/>
      </c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7" t="str">
        <f t="shared" si="19"/>
        <v/>
      </c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7" t="str">
        <f t="shared" si="19"/>
        <v/>
      </c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7" t="str">
        <f t="shared" si="19"/>
        <v/>
      </c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7" t="str">
        <f t="shared" si="19"/>
        <v/>
      </c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7" t="str">
        <f t="shared" si="19"/>
        <v/>
      </c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7" t="str">
        <f t="shared" si="19"/>
        <v/>
      </c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7" t="str">
        <f t="shared" si="19"/>
        <v/>
      </c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7" t="str">
        <f t="shared" si="19"/>
        <v/>
      </c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7" t="str">
        <f t="shared" si="19"/>
        <v/>
      </c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7" t="str">
        <f t="shared" si="19"/>
        <v/>
      </c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7" t="str">
        <f t="shared" si="19"/>
        <v/>
      </c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7" t="str">
        <f t="shared" si="19"/>
        <v/>
      </c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7" t="str">
        <f t="shared" si="19"/>
        <v/>
      </c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7" t="str">
        <f t="shared" si="19"/>
        <v/>
      </c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7" t="str">
        <f t="shared" si="19"/>
        <v/>
      </c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7" t="str">
        <f t="shared" si="19"/>
        <v/>
      </c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7" t="str">
        <f t="shared" si="19"/>
        <v/>
      </c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7" t="str">
        <f t="shared" si="19"/>
        <v/>
      </c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7" t="str">
        <f t="shared" si="19"/>
        <v/>
      </c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7" t="str">
        <f t="shared" si="19"/>
        <v/>
      </c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7" t="str">
        <f t="shared" si="19"/>
        <v/>
      </c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7" t="str">
        <f t="shared" si="19"/>
        <v/>
      </c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7" t="str">
        <f t="shared" si="19"/>
        <v/>
      </c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7" t="str">
        <f t="shared" si="19"/>
        <v/>
      </c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7" t="str">
        <f t="shared" si="19"/>
        <v/>
      </c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7" t="str">
        <f t="shared" si="19"/>
        <v/>
      </c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7" t="str">
        <f t="shared" si="19"/>
        <v/>
      </c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7" t="str">
        <f t="shared" si="19"/>
        <v/>
      </c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7" t="str">
        <f t="shared" si="19"/>
        <v/>
      </c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7" t="str">
        <f t="shared" si="19"/>
        <v/>
      </c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7" t="str">
        <f t="shared" si="19"/>
        <v/>
      </c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7" t="str">
        <f t="shared" si="19"/>
        <v/>
      </c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7" t="str">
        <f t="shared" si="19"/>
        <v/>
      </c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7" t="str">
        <f t="shared" si="19"/>
        <v/>
      </c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7" t="str">
        <f t="shared" si="19"/>
        <v/>
      </c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7" t="str">
        <f t="shared" si="19"/>
        <v/>
      </c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7" t="str">
        <f t="shared" si="19"/>
        <v/>
      </c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7" t="str">
        <f t="shared" si="19"/>
        <v/>
      </c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7" t="str">
        <f t="shared" si="19"/>
        <v/>
      </c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7" t="str">
        <f t="shared" si="19"/>
        <v/>
      </c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7" t="str">
        <f t="shared" si="19"/>
        <v/>
      </c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7" t="str">
        <f t="shared" si="19"/>
        <v/>
      </c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7" t="str">
        <f t="shared" si="19"/>
        <v/>
      </c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7" t="str">
        <f t="shared" si="19"/>
        <v/>
      </c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7" t="str">
        <f t="shared" si="19"/>
        <v/>
      </c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7" t="str">
        <f t="shared" si="19"/>
        <v/>
      </c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7" t="str">
        <f t="shared" si="19"/>
        <v/>
      </c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7" t="str">
        <f t="shared" si="19"/>
        <v/>
      </c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7" t="str">
        <f t="shared" si="19"/>
        <v/>
      </c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7" t="str">
        <f t="shared" si="19"/>
        <v/>
      </c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7" t="str">
        <f t="shared" si="19"/>
        <v/>
      </c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7" t="str">
        <f t="shared" si="19"/>
        <v/>
      </c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7" t="str">
        <f t="shared" si="19"/>
        <v/>
      </c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7" t="str">
        <f t="shared" si="19"/>
        <v/>
      </c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7" t="str">
        <f t="shared" si="19"/>
        <v/>
      </c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7" t="str">
        <f t="shared" si="19"/>
        <v/>
      </c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7" t="str">
        <f t="shared" si="19"/>
        <v/>
      </c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7" t="str">
        <f t="shared" si="19"/>
        <v/>
      </c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7" t="str">
        <f t="shared" si="19"/>
        <v/>
      </c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7" t="str">
        <f t="shared" ref="S228:S291" si="20">IF(A228="","",IF(OR(B228="",C228="",D228="",E228="",F228="",I228="",J228="",K228="",M228="",N228="",O228="",P228="",Q228="",R228=""),"需补充",IF(OR(G228="",H228=""),"试用正常/偏移量待冻结","正常")))</f>
        <v/>
      </c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7" t="str">
        <f t="shared" si="20"/>
        <v/>
      </c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7" t="str">
        <f t="shared" si="20"/>
        <v/>
      </c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7" t="str">
        <f t="shared" si="20"/>
        <v/>
      </c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7" t="str">
        <f t="shared" si="20"/>
        <v/>
      </c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7" t="str">
        <f t="shared" si="20"/>
        <v/>
      </c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7" t="str">
        <f t="shared" si="20"/>
        <v/>
      </c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7" t="str">
        <f t="shared" si="20"/>
        <v/>
      </c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7" t="str">
        <f t="shared" si="20"/>
        <v/>
      </c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7" t="str">
        <f t="shared" si="20"/>
        <v/>
      </c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7" t="str">
        <f t="shared" si="20"/>
        <v/>
      </c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7" t="str">
        <f t="shared" si="20"/>
        <v/>
      </c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7" t="str">
        <f t="shared" si="20"/>
        <v/>
      </c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7" t="str">
        <f t="shared" si="20"/>
        <v/>
      </c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7" t="str">
        <f t="shared" si="20"/>
        <v/>
      </c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7" t="str">
        <f t="shared" si="20"/>
        <v/>
      </c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7" t="str">
        <f t="shared" si="20"/>
        <v/>
      </c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7" t="str">
        <f t="shared" si="20"/>
        <v/>
      </c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7" t="str">
        <f t="shared" si="20"/>
        <v/>
      </c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7" t="str">
        <f t="shared" si="20"/>
        <v/>
      </c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7" t="str">
        <f t="shared" si="20"/>
        <v/>
      </c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7" t="str">
        <f t="shared" si="20"/>
        <v/>
      </c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7" t="str">
        <f t="shared" si="20"/>
        <v/>
      </c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7" t="str">
        <f t="shared" si="20"/>
        <v/>
      </c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7" t="str">
        <f t="shared" si="20"/>
        <v/>
      </c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7" t="str">
        <f t="shared" si="20"/>
        <v/>
      </c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7" t="str">
        <f t="shared" si="20"/>
        <v/>
      </c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7" t="str">
        <f t="shared" si="20"/>
        <v/>
      </c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7" t="str">
        <f t="shared" si="20"/>
        <v/>
      </c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7" t="str">
        <f t="shared" si="20"/>
        <v/>
      </c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7" t="str">
        <f t="shared" si="20"/>
        <v/>
      </c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7" t="str">
        <f t="shared" si="20"/>
        <v/>
      </c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7" t="str">
        <f t="shared" si="20"/>
        <v/>
      </c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7" t="str">
        <f t="shared" si="20"/>
        <v/>
      </c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7" t="str">
        <f t="shared" si="20"/>
        <v/>
      </c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7" t="str">
        <f t="shared" si="20"/>
        <v/>
      </c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7" t="str">
        <f t="shared" si="20"/>
        <v/>
      </c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7" t="str">
        <f t="shared" si="20"/>
        <v/>
      </c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7" t="str">
        <f t="shared" si="20"/>
        <v/>
      </c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7" t="str">
        <f t="shared" si="20"/>
        <v/>
      </c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7" t="str">
        <f t="shared" si="20"/>
        <v/>
      </c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7" t="str">
        <f t="shared" si="20"/>
        <v/>
      </c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7" t="str">
        <f t="shared" si="20"/>
        <v/>
      </c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7" t="str">
        <f t="shared" si="20"/>
        <v/>
      </c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7" t="str">
        <f t="shared" si="20"/>
        <v/>
      </c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7" t="str">
        <f t="shared" si="20"/>
        <v/>
      </c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7" t="str">
        <f t="shared" si="20"/>
        <v/>
      </c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7" t="str">
        <f t="shared" si="20"/>
        <v/>
      </c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7" t="str">
        <f t="shared" si="20"/>
        <v/>
      </c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7" t="str">
        <f t="shared" si="20"/>
        <v/>
      </c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7" t="str">
        <f t="shared" si="20"/>
        <v/>
      </c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7" t="str">
        <f t="shared" si="20"/>
        <v/>
      </c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7" t="str">
        <f t="shared" si="20"/>
        <v/>
      </c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7" t="str">
        <f t="shared" si="20"/>
        <v/>
      </c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7" t="str">
        <f t="shared" si="20"/>
        <v/>
      </c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7" t="str">
        <f t="shared" si="20"/>
        <v/>
      </c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7" t="str">
        <f t="shared" si="20"/>
        <v/>
      </c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7" t="str">
        <f t="shared" si="20"/>
        <v/>
      </c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7" t="str">
        <f t="shared" si="20"/>
        <v/>
      </c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7" t="str">
        <f t="shared" si="20"/>
        <v/>
      </c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7" t="str">
        <f t="shared" si="20"/>
        <v/>
      </c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7" t="str">
        <f t="shared" si="20"/>
        <v/>
      </c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7" t="str">
        <f t="shared" si="20"/>
        <v/>
      </c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7" t="str">
        <f t="shared" si="20"/>
        <v/>
      </c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7" t="str">
        <f t="shared" ref="S292:S355" si="21">IF(A292="","",IF(OR(B292="",C292="",D292="",E292="",F292="",I292="",J292="",K292="",M292="",N292="",O292="",P292="",Q292="",R292=""),"需补充",IF(OR(G292="",H292=""),"试用正常/偏移量待冻结","正常")))</f>
        <v/>
      </c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7" t="str">
        <f t="shared" si="21"/>
        <v/>
      </c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7" t="str">
        <f t="shared" si="21"/>
        <v/>
      </c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7" t="str">
        <f t="shared" si="21"/>
        <v/>
      </c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7" t="str">
        <f t="shared" si="21"/>
        <v/>
      </c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7" t="str">
        <f t="shared" si="21"/>
        <v/>
      </c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7" t="str">
        <f t="shared" si="21"/>
        <v/>
      </c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7" t="str">
        <f t="shared" si="21"/>
        <v/>
      </c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7" t="str">
        <f t="shared" si="21"/>
        <v/>
      </c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7" t="str">
        <f t="shared" si="21"/>
        <v/>
      </c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7" t="str">
        <f t="shared" si="21"/>
        <v/>
      </c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7" t="str">
        <f t="shared" si="21"/>
        <v/>
      </c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7" t="str">
        <f t="shared" si="21"/>
        <v/>
      </c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7" t="str">
        <f t="shared" si="21"/>
        <v/>
      </c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7" t="str">
        <f t="shared" si="21"/>
        <v/>
      </c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7" t="str">
        <f t="shared" si="21"/>
        <v/>
      </c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7" t="str">
        <f t="shared" si="21"/>
        <v/>
      </c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7" t="str">
        <f t="shared" si="21"/>
        <v/>
      </c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7" t="str">
        <f t="shared" si="21"/>
        <v/>
      </c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7" t="str">
        <f t="shared" si="21"/>
        <v/>
      </c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7" t="str">
        <f t="shared" si="21"/>
        <v/>
      </c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7" t="str">
        <f t="shared" si="21"/>
        <v/>
      </c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7" t="str">
        <f t="shared" si="21"/>
        <v/>
      </c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7" t="str">
        <f t="shared" si="21"/>
        <v/>
      </c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7" t="str">
        <f t="shared" si="21"/>
        <v/>
      </c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7" t="str">
        <f t="shared" si="21"/>
        <v/>
      </c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7" t="str">
        <f t="shared" si="21"/>
        <v/>
      </c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7" t="str">
        <f t="shared" si="21"/>
        <v/>
      </c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7" t="str">
        <f t="shared" si="21"/>
        <v/>
      </c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7" t="str">
        <f t="shared" si="21"/>
        <v/>
      </c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7" t="str">
        <f t="shared" si="21"/>
        <v/>
      </c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7" t="str">
        <f t="shared" si="21"/>
        <v/>
      </c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7" t="str">
        <f t="shared" si="21"/>
        <v/>
      </c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7" t="str">
        <f t="shared" si="21"/>
        <v/>
      </c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7" t="str">
        <f t="shared" si="21"/>
        <v/>
      </c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7" t="str">
        <f t="shared" si="21"/>
        <v/>
      </c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7" t="str">
        <f t="shared" si="21"/>
        <v/>
      </c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7" t="str">
        <f t="shared" si="21"/>
        <v/>
      </c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7" t="str">
        <f t="shared" si="21"/>
        <v/>
      </c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7" t="str">
        <f t="shared" si="21"/>
        <v/>
      </c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7" t="str">
        <f t="shared" si="21"/>
        <v/>
      </c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7" t="str">
        <f t="shared" si="21"/>
        <v/>
      </c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7" t="str">
        <f t="shared" si="21"/>
        <v/>
      </c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7" t="str">
        <f t="shared" si="21"/>
        <v/>
      </c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7" t="str">
        <f t="shared" si="21"/>
        <v/>
      </c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7" t="str">
        <f t="shared" si="21"/>
        <v/>
      </c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7" t="str">
        <f t="shared" si="21"/>
        <v/>
      </c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7" t="str">
        <f t="shared" si="21"/>
        <v/>
      </c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7" t="str">
        <f t="shared" si="21"/>
        <v/>
      </c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7" t="str">
        <f t="shared" si="21"/>
        <v/>
      </c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7" t="str">
        <f t="shared" si="21"/>
        <v/>
      </c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7" t="str">
        <f t="shared" si="21"/>
        <v/>
      </c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7" t="str">
        <f t="shared" si="21"/>
        <v/>
      </c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7" t="str">
        <f t="shared" si="21"/>
        <v/>
      </c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7" t="str">
        <f t="shared" si="21"/>
        <v/>
      </c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7" t="str">
        <f t="shared" si="21"/>
        <v/>
      </c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7" t="str">
        <f t="shared" si="21"/>
        <v/>
      </c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7" t="str">
        <f t="shared" si="21"/>
        <v/>
      </c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7" t="str">
        <f t="shared" si="21"/>
        <v/>
      </c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7" t="str">
        <f t="shared" si="21"/>
        <v/>
      </c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7" t="str">
        <f t="shared" si="21"/>
        <v/>
      </c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7" t="str">
        <f t="shared" si="21"/>
        <v/>
      </c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7" t="str">
        <f t="shared" si="21"/>
        <v/>
      </c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7" t="str">
        <f t="shared" si="21"/>
        <v/>
      </c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7" t="str">
        <f t="shared" ref="S356:S419" si="22">IF(A356="","",IF(OR(B356="",C356="",D356="",E356="",F356="",I356="",J356="",K356="",M356="",N356="",O356="",P356="",Q356="",R356=""),"需补充",IF(OR(G356="",H356=""),"试用正常/偏移量待冻结","正常")))</f>
        <v/>
      </c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7" t="str">
        <f t="shared" si="22"/>
        <v/>
      </c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7" t="str">
        <f t="shared" si="22"/>
        <v/>
      </c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7" t="str">
        <f t="shared" si="22"/>
        <v/>
      </c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7" t="str">
        <f t="shared" si="22"/>
        <v/>
      </c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7" t="str">
        <f t="shared" si="22"/>
        <v/>
      </c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7" t="str">
        <f t="shared" si="22"/>
        <v/>
      </c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7" t="str">
        <f t="shared" si="22"/>
        <v/>
      </c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7" t="str">
        <f t="shared" si="22"/>
        <v/>
      </c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7" t="str">
        <f t="shared" si="22"/>
        <v/>
      </c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7" t="str">
        <f t="shared" si="22"/>
        <v/>
      </c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7" t="str">
        <f t="shared" si="22"/>
        <v/>
      </c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7" t="str">
        <f t="shared" si="22"/>
        <v/>
      </c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7" t="str">
        <f t="shared" si="22"/>
        <v/>
      </c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7" t="str">
        <f t="shared" si="22"/>
        <v/>
      </c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7" t="str">
        <f t="shared" si="22"/>
        <v/>
      </c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7" t="str">
        <f t="shared" si="22"/>
        <v/>
      </c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7" t="str">
        <f t="shared" si="22"/>
        <v/>
      </c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7" t="str">
        <f t="shared" si="22"/>
        <v/>
      </c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7" t="str">
        <f t="shared" si="22"/>
        <v/>
      </c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7" t="str">
        <f t="shared" si="22"/>
        <v/>
      </c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7" t="str">
        <f t="shared" si="22"/>
        <v/>
      </c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7" t="str">
        <f t="shared" si="22"/>
        <v/>
      </c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7" t="str">
        <f t="shared" si="22"/>
        <v/>
      </c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7" t="str">
        <f t="shared" si="22"/>
        <v/>
      </c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7" t="str">
        <f t="shared" si="22"/>
        <v/>
      </c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7" t="str">
        <f t="shared" si="22"/>
        <v/>
      </c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7" t="str">
        <f t="shared" si="22"/>
        <v/>
      </c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7" t="str">
        <f t="shared" si="22"/>
        <v/>
      </c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7" t="str">
        <f t="shared" si="22"/>
        <v/>
      </c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7" t="str">
        <f t="shared" si="22"/>
        <v/>
      </c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7" t="str">
        <f t="shared" si="22"/>
        <v/>
      </c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7" t="str">
        <f t="shared" si="22"/>
        <v/>
      </c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7" t="str">
        <f t="shared" si="22"/>
        <v/>
      </c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7" t="str">
        <f t="shared" si="22"/>
        <v/>
      </c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7" t="str">
        <f t="shared" si="22"/>
        <v/>
      </c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7" t="str">
        <f t="shared" si="22"/>
        <v/>
      </c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7" t="str">
        <f t="shared" si="22"/>
        <v/>
      </c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7" t="str">
        <f t="shared" si="22"/>
        <v/>
      </c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7" t="str">
        <f t="shared" si="22"/>
        <v/>
      </c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7" t="str">
        <f t="shared" si="22"/>
        <v/>
      </c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7" t="str">
        <f t="shared" si="22"/>
        <v/>
      </c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7" t="str">
        <f t="shared" si="22"/>
        <v/>
      </c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7" t="str">
        <f t="shared" si="22"/>
        <v/>
      </c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7" t="str">
        <f t="shared" si="22"/>
        <v/>
      </c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7" t="str">
        <f t="shared" si="22"/>
        <v/>
      </c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7" t="str">
        <f t="shared" si="22"/>
        <v/>
      </c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7" t="str">
        <f t="shared" si="22"/>
        <v/>
      </c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7" t="str">
        <f t="shared" si="22"/>
        <v/>
      </c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7" t="str">
        <f t="shared" si="22"/>
        <v/>
      </c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7" t="str">
        <f t="shared" si="22"/>
        <v/>
      </c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7" t="str">
        <f t="shared" si="22"/>
        <v/>
      </c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7" t="str">
        <f t="shared" si="22"/>
        <v/>
      </c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7" t="str">
        <f t="shared" si="22"/>
        <v/>
      </c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7" t="str">
        <f t="shared" si="22"/>
        <v/>
      </c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7" t="str">
        <f t="shared" si="22"/>
        <v/>
      </c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7" t="str">
        <f t="shared" si="22"/>
        <v/>
      </c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7" t="str">
        <f t="shared" si="22"/>
        <v/>
      </c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7" t="str">
        <f t="shared" si="22"/>
        <v/>
      </c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7" t="str">
        <f t="shared" si="22"/>
        <v/>
      </c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7" t="str">
        <f t="shared" si="22"/>
        <v/>
      </c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7" t="str">
        <f t="shared" si="22"/>
        <v/>
      </c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7" t="str">
        <f t="shared" si="22"/>
        <v/>
      </c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7" t="str">
        <f t="shared" si="22"/>
        <v/>
      </c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7" t="str">
        <f t="shared" ref="S420:S483" si="23">IF(A420="","",IF(OR(B420="",C420="",D420="",E420="",F420="",I420="",J420="",K420="",M420="",N420="",O420="",P420="",Q420="",R420=""),"需补充",IF(OR(G420="",H420=""),"试用正常/偏移量待冻结","正常")))</f>
        <v/>
      </c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7" t="str">
        <f t="shared" si="23"/>
        <v/>
      </c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7" t="str">
        <f t="shared" si="23"/>
        <v/>
      </c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7" t="str">
        <f t="shared" si="23"/>
        <v/>
      </c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7" t="str">
        <f t="shared" si="23"/>
        <v/>
      </c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7" t="str">
        <f t="shared" si="23"/>
        <v/>
      </c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7" t="str">
        <f t="shared" si="23"/>
        <v/>
      </c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7" t="str">
        <f t="shared" si="23"/>
        <v/>
      </c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7" t="str">
        <f t="shared" si="23"/>
        <v/>
      </c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7" t="str">
        <f t="shared" si="23"/>
        <v/>
      </c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7" t="str">
        <f t="shared" si="23"/>
        <v/>
      </c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7" t="str">
        <f t="shared" si="23"/>
        <v/>
      </c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7" t="str">
        <f t="shared" si="23"/>
        <v/>
      </c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7" t="str">
        <f t="shared" si="23"/>
        <v/>
      </c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7" t="str">
        <f t="shared" si="23"/>
        <v/>
      </c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7" t="str">
        <f t="shared" si="23"/>
        <v/>
      </c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7" t="str">
        <f t="shared" si="23"/>
        <v/>
      </c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7" t="str">
        <f t="shared" si="23"/>
        <v/>
      </c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7" t="str">
        <f t="shared" si="23"/>
        <v/>
      </c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7" t="str">
        <f t="shared" si="23"/>
        <v/>
      </c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7" t="str">
        <f t="shared" si="23"/>
        <v/>
      </c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7" t="str">
        <f t="shared" si="23"/>
        <v/>
      </c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7" t="str">
        <f t="shared" si="23"/>
        <v/>
      </c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7" t="str">
        <f t="shared" si="23"/>
        <v/>
      </c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7" t="str">
        <f t="shared" si="23"/>
        <v/>
      </c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7" t="str">
        <f t="shared" si="23"/>
        <v/>
      </c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7" t="str">
        <f t="shared" si="23"/>
        <v/>
      </c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7" t="str">
        <f t="shared" si="23"/>
        <v/>
      </c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7" t="str">
        <f t="shared" si="23"/>
        <v/>
      </c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7" t="str">
        <f t="shared" si="23"/>
        <v/>
      </c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7" t="str">
        <f t="shared" si="23"/>
        <v/>
      </c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7" t="str">
        <f t="shared" si="23"/>
        <v/>
      </c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7" t="str">
        <f t="shared" si="23"/>
        <v/>
      </c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7" t="str">
        <f t="shared" si="23"/>
        <v/>
      </c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7" t="str">
        <f t="shared" si="23"/>
        <v/>
      </c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7" t="str">
        <f t="shared" si="23"/>
        <v/>
      </c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7" t="str">
        <f t="shared" si="23"/>
        <v/>
      </c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7" t="str">
        <f t="shared" si="23"/>
        <v/>
      </c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7" t="str">
        <f t="shared" si="23"/>
        <v/>
      </c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7" t="str">
        <f t="shared" si="23"/>
        <v/>
      </c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7" t="str">
        <f t="shared" si="23"/>
        <v/>
      </c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7" t="str">
        <f t="shared" si="23"/>
        <v/>
      </c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7" t="str">
        <f t="shared" si="23"/>
        <v/>
      </c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7" t="str">
        <f t="shared" si="23"/>
        <v/>
      </c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7" t="str">
        <f t="shared" si="23"/>
        <v/>
      </c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7" t="str">
        <f t="shared" si="23"/>
        <v/>
      </c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7" t="str">
        <f t="shared" si="23"/>
        <v/>
      </c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7" t="str">
        <f t="shared" si="23"/>
        <v/>
      </c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7" t="str">
        <f t="shared" si="23"/>
        <v/>
      </c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7" t="str">
        <f t="shared" si="23"/>
        <v/>
      </c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7" t="str">
        <f t="shared" si="23"/>
        <v/>
      </c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7" t="str">
        <f t="shared" si="23"/>
        <v/>
      </c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7" t="str">
        <f t="shared" si="23"/>
        <v/>
      </c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7" t="str">
        <f t="shared" si="23"/>
        <v/>
      </c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7" t="str">
        <f t="shared" si="23"/>
        <v/>
      </c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7" t="str">
        <f t="shared" si="23"/>
        <v/>
      </c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7" t="str">
        <f t="shared" si="23"/>
        <v/>
      </c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7" t="str">
        <f t="shared" si="23"/>
        <v/>
      </c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7" t="str">
        <f t="shared" si="23"/>
        <v/>
      </c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7" t="str">
        <f t="shared" si="23"/>
        <v/>
      </c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7" t="str">
        <f t="shared" si="23"/>
        <v/>
      </c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7" t="str">
        <f t="shared" si="23"/>
        <v/>
      </c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7" t="str">
        <f t="shared" si="23"/>
        <v/>
      </c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7" t="str">
        <f t="shared" si="23"/>
        <v/>
      </c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7" t="str">
        <f t="shared" ref="S484:S501" si="24">IF(A484="","",IF(OR(B484="",C484="",D484="",E484="",F484="",I484="",J484="",K484="",M484="",N484="",O484="",P484="",Q484="",R484=""),"需补充",IF(OR(G484="",H484=""),"试用正常/偏移量待冻结","正常")))</f>
        <v/>
      </c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7" t="str">
        <f t="shared" si="24"/>
        <v/>
      </c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7" t="str">
        <f t="shared" si="24"/>
        <v/>
      </c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7" t="str">
        <f t="shared" si="24"/>
        <v/>
      </c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7" t="str">
        <f t="shared" si="24"/>
        <v/>
      </c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7" t="str">
        <f t="shared" si="24"/>
        <v/>
      </c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7" t="str">
        <f t="shared" si="24"/>
        <v/>
      </c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7" t="str">
        <f t="shared" si="24"/>
        <v/>
      </c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7" t="str">
        <f t="shared" si="24"/>
        <v/>
      </c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7" t="str">
        <f t="shared" si="24"/>
        <v/>
      </c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7" t="str">
        <f t="shared" si="24"/>
        <v/>
      </c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7" t="str">
        <f t="shared" si="24"/>
        <v/>
      </c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7" t="str">
        <f t="shared" si="24"/>
        <v/>
      </c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7" t="str">
        <f t="shared" si="24"/>
        <v/>
      </c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7" t="str">
        <f t="shared" si="24"/>
        <v/>
      </c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7" t="str">
        <f t="shared" si="24"/>
        <v/>
      </c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7" t="str">
        <f t="shared" si="24"/>
        <v/>
      </c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7" t="str">
        <f t="shared" si="24"/>
        <v/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正常" id="{1D9D623E-E4A3-477C-8EE2-20A2DB2DAEC7}">
            <x14:dxf>
              <font>
                <b/>
                <color rgb="FF256029"/>
              </font>
              <fill>
                <patternFill patternType="solid">
                  <fgColor rgb="FFE2F0D9"/>
                  <bgColor rgb="FFE2F0D9"/>
                </patternFill>
              </fill>
            </x14:dxf>
          </x14:cfRule>
          <xm:sqref>S2:S501</xm:sqref>
        </x14:conditionalFormatting>
        <x14:conditionalFormatting xmlns:xm="http://schemas.microsoft.com/office/excel/2006/main">
          <x14:cfRule type="containsText" priority="2" operator="containsText" text="待冻结" id="{FE94103A-9968-422C-BA04-9FB7293E8ED2}">
            <x14:dxf>
              <font>
                <b/>
                <color rgb="FF8A4B08"/>
              </font>
              <fill>
                <patternFill patternType="solid">
                  <fgColor rgb="FFFFF4CC"/>
                  <bgColor rgb="FFFFF4CC"/>
                </patternFill>
              </fill>
            </x14:dxf>
          </x14:cfRule>
          <xm:sqref>S2:S501</xm:sqref>
        </x14:conditionalFormatting>
        <x14:conditionalFormatting xmlns:xm="http://schemas.microsoft.com/office/excel/2006/main">
          <x14:cfRule type="containsText" priority="3" operator="containsText" text="需" id="{0F301B24-2F02-4CA4-8120-9D28EFFBEC23}">
            <x14:dxf>
              <font>
                <b/>
                <color rgb="FFB42318"/>
              </font>
              <fill>
                <patternFill patternType="solid">
                  <fgColor rgb="FFFCE8E6"/>
                  <bgColor rgb="FFFCE8E6"/>
                </patternFill>
              </fill>
            </x14:dxf>
          </x14:cfRule>
          <xm:sqref>S2:S501</xm:sqref>
        </x14:conditionalFormatting>
        <x14:conditionalFormatting xmlns:xm="http://schemas.microsoft.com/office/excel/2006/main">
          <x14:cfRule type="containsText" priority="4" operator="containsText" text="禁止" id="{19075528-4692-471E-8EC5-64C2875FD8A5}">
            <x14:dxf>
              <font>
                <b/>
                <color rgb="FFB42318"/>
              </font>
              <fill>
                <patternFill patternType="solid">
                  <fgColor rgb="FFFCE8E6"/>
                  <bgColor rgb="FFFCE8E6"/>
                </patternFill>
              </fill>
            </x14:dxf>
          </x14:cfRule>
          <xm:sqref>S2:S501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2192C0F3-DE04-4039-89AC-9BD2E1EEE0A4}" type="list" allowBlank="0" errorStyle="stop" imeMode="noControl" operator="between" showDropDown="0" showErrorMessage="0" showInputMessage="0">
          <x14:formula1>
            <xm:f>"是,否,UNCLEAR"</xm:f>
          </x14:formula1>
          <xm:sqref>M2:M501</xm:sqref>
        </x14:dataValidation>
        <x14:dataValidation xr:uid="{66A290A2-E614-47A7-BC65-16DC97A62954}" type="list" allowBlank="0" errorStyle="stop" imeMode="noControl" operator="between" showDropDown="0" showErrorMessage="0" showInputMessage="0">
          <x14:formula1>
            <xm:f>"暂定,形成中,较成熟"</xm:f>
          </x14:formula1>
          <xm:sqref>N2:N501</xm:sqref>
        </x14:dataValidation>
        <x14:dataValidation xr:uid="{5F8B5627-08FB-4613-B1F8-F4FE15543F5F}" type="list" allowBlank="0" errorStyle="stop" imeMode="noControl" operator="between" showDropDown="0" showErrorMessage="0" showInputMessage="0">
          <x14:formula1>
            <xm:f>"正常,需补充,试用正常/偏移量待冻结"</xm:f>
          </x14:formula1>
          <xm:sqref>S2:S501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16"/>
    <col customWidth="1" min="2" max="2" width="38"/>
    <col customWidth="1" min="3" max="3" width="18"/>
    <col customWidth="1" min="4" max="5" width="44"/>
    <col customWidth="1" min="6" max="6" width="31"/>
    <col customWidth="1" min="7" max="8" width="36"/>
    <col customWidth="1" min="9" max="10" width="38"/>
    <col customWidth="1" min="11" max="11" width="26"/>
    <col customWidth="1" min="12" max="12" width="22"/>
    <col customWidth="1" min="13" max="13" width="15"/>
    <col customWidth="1" min="14" max="14" width="21"/>
    <col customWidth="1" min="15" max="16" width="17"/>
    <col customWidth="1" min="17" max="17" width="24"/>
    <col customWidth="1" min="18" max="18" width="18"/>
    <col customWidth="1" min="19" max="19" width="20"/>
    <col customWidth="1" min="20" max="20" width="16"/>
  </cols>
  <sheetData>
    <row r="1" ht="38" customHeight="1">
      <c r="A1" s="25" t="s">
        <v>156</v>
      </c>
      <c r="B1" s="25" t="s">
        <v>157</v>
      </c>
      <c r="C1" s="25" t="s">
        <v>158</v>
      </c>
      <c r="D1" s="25" t="s">
        <v>159</v>
      </c>
      <c r="E1" s="25" t="s">
        <v>160</v>
      </c>
      <c r="F1" s="25" t="s">
        <v>161</v>
      </c>
      <c r="G1" s="25" t="s">
        <v>162</v>
      </c>
      <c r="H1" s="25" t="s">
        <v>163</v>
      </c>
      <c r="I1" s="25" t="s">
        <v>164</v>
      </c>
      <c r="J1" s="25" t="s">
        <v>165</v>
      </c>
      <c r="K1" s="25" t="s">
        <v>166</v>
      </c>
      <c r="L1" s="25" t="s">
        <v>167</v>
      </c>
      <c r="M1" s="25" t="s">
        <v>168</v>
      </c>
      <c r="N1" s="25" t="s">
        <v>169</v>
      </c>
      <c r="O1" s="25" t="s">
        <v>141</v>
      </c>
      <c r="P1" s="25" t="s">
        <v>170</v>
      </c>
      <c r="Q1" s="25" t="s">
        <v>171</v>
      </c>
      <c r="R1" s="25" t="s">
        <v>172</v>
      </c>
      <c r="S1" s="25" t="s">
        <v>173</v>
      </c>
      <c r="T1" s="25" t="s">
        <v>112</v>
      </c>
    </row>
    <row r="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7" t="str">
        <f>IF(A2="","",COUNTIFS('6_主题证据映射'!$B$2:$B$501,A2,'6_主题证据映射'!$F$2:$F$501,"核心证据")+COUNTIFS('6_主题证据映射'!$B$2:$B$501,A2,'6_主题证据映射'!$F$2:$F$501,"支持证据"))</f>
        <v/>
      </c>
      <c r="S2" s="27" t="str">
        <f>IF(A2="","",COUNTIFS('6_主题证据映射'!$B$2:$B$501,A2,'6_主题证据映射'!$F$2:$F$501,"反例证据"))</f>
        <v/>
      </c>
      <c r="T2" s="27" t="str">
        <f t="shared" ref="T2:T9" si="25">IF(A2="","",IF(OR(B2="",C2="",D2="",E2="",F2="",M2="",P2="",Q2=""),"需补充",IF(C2="保留",IF(OR(G2="",H2="",K2="未开始",L2&lt;&gt;"已完成",R2=0),"需复核","正常"),"正常")))</f>
        <v/>
      </c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7" t="str">
        <f>IF(A3="","",COUNTIFS('6_主题证据映射'!$B$2:$B$501,A3,'6_主题证据映射'!$F$2:$F$501,"核心证据")+COUNTIFS('6_主题证据映射'!$B$2:$B$501,A3,'6_主题证据映射'!$F$2:$F$501,"支持证据"))</f>
        <v/>
      </c>
      <c r="S3" s="27" t="str">
        <f>IF(A3="","",COUNTIFS('6_主题证据映射'!$B$2:$B$501,A3,'6_主题证据映射'!$F$2:$F$501,"反例证据"))</f>
        <v/>
      </c>
      <c r="T3" s="27" t="str">
        <f t="shared" si="25"/>
        <v/>
      </c>
    </row>
    <row r="4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7" t="str">
        <f>IF(A4="","",COUNTIFS('6_主题证据映射'!$B$2:$B$501,A4,'6_主题证据映射'!$F$2:$F$501,"核心证据")+COUNTIFS('6_主题证据映射'!$B$2:$B$501,A4,'6_主题证据映射'!$F$2:$F$501,"支持证据"))</f>
        <v/>
      </c>
      <c r="S4" s="27" t="str">
        <f>IF(A4="","",COUNTIFS('6_主题证据映射'!$B$2:$B$501,A4,'6_主题证据映射'!$F$2:$F$501,"反例证据"))</f>
        <v/>
      </c>
      <c r="T4" s="27" t="str">
        <f t="shared" si="25"/>
        <v/>
      </c>
    </row>
    <row r="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 t="str">
        <f>IF(A5="","",COUNTIFS('6_主题证据映射'!$B$2:$B$501,A5,'6_主题证据映射'!$F$2:$F$501,"核心证据")+COUNTIFS('6_主题证据映射'!$B$2:$B$501,A5,'6_主题证据映射'!$F$2:$F$501,"支持证据"))</f>
        <v/>
      </c>
      <c r="S5" s="27" t="str">
        <f>IF(A5="","",COUNTIFS('6_主题证据映射'!$B$2:$B$501,A5,'6_主题证据映射'!$F$2:$F$501,"反例证据"))</f>
        <v/>
      </c>
      <c r="T5" s="27" t="str">
        <f t="shared" si="25"/>
        <v/>
      </c>
    </row>
    <row r="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7" t="str">
        <f>IF(A6="","",COUNTIFS('6_主题证据映射'!$B$2:$B$501,A6,'6_主题证据映射'!$F$2:$F$501,"核心证据")+COUNTIFS('6_主题证据映射'!$B$2:$B$501,A6,'6_主题证据映射'!$F$2:$F$501,"支持证据"))</f>
        <v/>
      </c>
      <c r="S6" s="27" t="str">
        <f>IF(A6="","",COUNTIFS('6_主题证据映射'!$B$2:$B$501,A6,'6_主题证据映射'!$F$2:$F$501,"反例证据"))</f>
        <v/>
      </c>
      <c r="T6" s="27" t="str">
        <f t="shared" si="25"/>
        <v/>
      </c>
    </row>
    <row r="7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 t="str">
        <f>IF(A7="","",COUNTIFS('6_主题证据映射'!$B$2:$B$501,A7,'6_主题证据映射'!$F$2:$F$501,"核心证据")+COUNTIFS('6_主题证据映射'!$B$2:$B$501,A7,'6_主题证据映射'!$F$2:$F$501,"支持证据"))</f>
        <v/>
      </c>
      <c r="S7" s="27" t="str">
        <f>IF(A7="","",COUNTIFS('6_主题证据映射'!$B$2:$B$501,A7,'6_主题证据映射'!$F$2:$F$501,"反例证据"))</f>
        <v/>
      </c>
      <c r="T7" s="27" t="str">
        <f t="shared" si="25"/>
        <v/>
      </c>
    </row>
    <row r="8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7" t="str">
        <f>IF(A8="","",COUNTIFS('6_主题证据映射'!$B$2:$B$501,A8,'6_主题证据映射'!$F$2:$F$501,"核心证据")+COUNTIFS('6_主题证据映射'!$B$2:$B$501,A8,'6_主题证据映射'!$F$2:$F$501,"支持证据"))</f>
        <v/>
      </c>
      <c r="S8" s="27" t="str">
        <f>IF(A8="","",COUNTIFS('6_主题证据映射'!$B$2:$B$501,A8,'6_主题证据映射'!$F$2:$F$501,"反例证据"))</f>
        <v/>
      </c>
      <c r="T8" s="27" t="str">
        <f t="shared" si="25"/>
        <v/>
      </c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7" t="str">
        <f>IF(A9="","",COUNTIFS('6_主题证据映射'!$B$2:$B$501,A9,'6_主题证据映射'!$F$2:$F$501,"核心证据")+COUNTIFS('6_主题证据映射'!$B$2:$B$501,A9,'6_主题证据映射'!$F$2:$F$501,"支持证据"))</f>
        <v/>
      </c>
      <c r="S9" s="27" t="str">
        <f>IF(A9="","",COUNTIFS('6_主题证据映射'!$B$2:$B$501,A9,'6_主题证据映射'!$F$2:$F$501,"反例证据"))</f>
        <v/>
      </c>
      <c r="T9" s="27" t="str">
        <f t="shared" si="25"/>
        <v/>
      </c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7" t="str">
        <f>IF(A10="","",COUNTIFS('6_主题证据映射'!$B$2:$B$501,A10,'6_主题证据映射'!$F$2:$F$501,"核心证据")+COUNTIFS('6_主题证据映射'!$B$2:$B$501,A10,'6_主题证据映射'!$F$2:$F$501,"支持证据"))</f>
        <v/>
      </c>
      <c r="S10" s="27" t="str">
        <f>IF(A10="","",COUNTIFS('6_主题证据映射'!$B$2:$B$501,A10,'6_主题证据映射'!$F$2:$F$501,"反例证据"))</f>
        <v/>
      </c>
      <c r="T10" s="27" t="str">
        <f t="shared" ref="T10:T73" si="26">IF(A10="","",IF(OR(B10="",C10="",D10="",E10="",F10="",M10="",P10="",Q10=""),"需补充",IF(C10="保留",IF(OR(G10="",H10="",K10="未开始",L10&lt;&gt;"已完成",R10=0),"需复核","正常"),"正常")))</f>
        <v/>
      </c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7" t="str">
        <f>IF(A11="","",COUNTIFS('6_主题证据映射'!$B$2:$B$501,A11,'6_主题证据映射'!$F$2:$F$501,"核心证据")+COUNTIFS('6_主题证据映射'!$B$2:$B$501,A11,'6_主题证据映射'!$F$2:$F$501,"支持证据"))</f>
        <v/>
      </c>
      <c r="S11" s="27" t="str">
        <f>IF(A11="","",COUNTIFS('6_主题证据映射'!$B$2:$B$501,A11,'6_主题证据映射'!$F$2:$F$501,"反例证据"))</f>
        <v/>
      </c>
      <c r="T11" s="27" t="str">
        <f t="shared" si="26"/>
        <v/>
      </c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7" t="str">
        <f>IF(A12="","",COUNTIFS('6_主题证据映射'!$B$2:$B$501,A12,'6_主题证据映射'!$F$2:$F$501,"核心证据")+COUNTIFS('6_主题证据映射'!$B$2:$B$501,A12,'6_主题证据映射'!$F$2:$F$501,"支持证据"))</f>
        <v/>
      </c>
      <c r="S12" s="27" t="str">
        <f>IF(A12="","",COUNTIFS('6_主题证据映射'!$B$2:$B$501,A12,'6_主题证据映射'!$F$2:$F$501,"反例证据"))</f>
        <v/>
      </c>
      <c r="T12" s="27" t="str">
        <f t="shared" si="26"/>
        <v/>
      </c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7" t="str">
        <f>IF(A13="","",COUNTIFS('6_主题证据映射'!$B$2:$B$501,A13,'6_主题证据映射'!$F$2:$F$501,"核心证据")+COUNTIFS('6_主题证据映射'!$B$2:$B$501,A13,'6_主题证据映射'!$F$2:$F$501,"支持证据"))</f>
        <v/>
      </c>
      <c r="S13" s="27" t="str">
        <f>IF(A13="","",COUNTIFS('6_主题证据映射'!$B$2:$B$501,A13,'6_主题证据映射'!$F$2:$F$501,"反例证据"))</f>
        <v/>
      </c>
      <c r="T13" s="27" t="str">
        <f t="shared" si="26"/>
        <v/>
      </c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7" t="str">
        <f>IF(A14="","",COUNTIFS('6_主题证据映射'!$B$2:$B$501,A14,'6_主题证据映射'!$F$2:$F$501,"核心证据")+COUNTIFS('6_主题证据映射'!$B$2:$B$501,A14,'6_主题证据映射'!$F$2:$F$501,"支持证据"))</f>
        <v/>
      </c>
      <c r="S14" s="27" t="str">
        <f>IF(A14="","",COUNTIFS('6_主题证据映射'!$B$2:$B$501,A14,'6_主题证据映射'!$F$2:$F$501,"反例证据"))</f>
        <v/>
      </c>
      <c r="T14" s="27" t="str">
        <f t="shared" si="26"/>
        <v/>
      </c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7" t="str">
        <f>IF(A15="","",COUNTIFS('6_主题证据映射'!$B$2:$B$501,A15,'6_主题证据映射'!$F$2:$F$501,"核心证据")+COUNTIFS('6_主题证据映射'!$B$2:$B$501,A15,'6_主题证据映射'!$F$2:$F$501,"支持证据"))</f>
        <v/>
      </c>
      <c r="S15" s="27" t="str">
        <f>IF(A15="","",COUNTIFS('6_主题证据映射'!$B$2:$B$501,A15,'6_主题证据映射'!$F$2:$F$501,"反例证据"))</f>
        <v/>
      </c>
      <c r="T15" s="27" t="str">
        <f t="shared" si="26"/>
        <v/>
      </c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7" t="str">
        <f>IF(A16="","",COUNTIFS('6_主题证据映射'!$B$2:$B$501,A16,'6_主题证据映射'!$F$2:$F$501,"核心证据")+COUNTIFS('6_主题证据映射'!$B$2:$B$501,A16,'6_主题证据映射'!$F$2:$F$501,"支持证据"))</f>
        <v/>
      </c>
      <c r="S16" s="27" t="str">
        <f>IF(A16="","",COUNTIFS('6_主题证据映射'!$B$2:$B$501,A16,'6_主题证据映射'!$F$2:$F$501,"反例证据"))</f>
        <v/>
      </c>
      <c r="T16" s="27" t="str">
        <f t="shared" si="26"/>
        <v/>
      </c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7" t="str">
        <f>IF(A17="","",COUNTIFS('6_主题证据映射'!$B$2:$B$501,A17,'6_主题证据映射'!$F$2:$F$501,"核心证据")+COUNTIFS('6_主题证据映射'!$B$2:$B$501,A17,'6_主题证据映射'!$F$2:$F$501,"支持证据"))</f>
        <v/>
      </c>
      <c r="S17" s="27" t="str">
        <f>IF(A17="","",COUNTIFS('6_主题证据映射'!$B$2:$B$501,A17,'6_主题证据映射'!$F$2:$F$501,"反例证据"))</f>
        <v/>
      </c>
      <c r="T17" s="27" t="str">
        <f t="shared" si="26"/>
        <v/>
      </c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7" t="str">
        <f>IF(A18="","",COUNTIFS('6_主题证据映射'!$B$2:$B$501,A18,'6_主题证据映射'!$F$2:$F$501,"核心证据")+COUNTIFS('6_主题证据映射'!$B$2:$B$501,A18,'6_主题证据映射'!$F$2:$F$501,"支持证据"))</f>
        <v/>
      </c>
      <c r="S18" s="27" t="str">
        <f>IF(A18="","",COUNTIFS('6_主题证据映射'!$B$2:$B$501,A18,'6_主题证据映射'!$F$2:$F$501,"反例证据"))</f>
        <v/>
      </c>
      <c r="T18" s="27" t="str">
        <f t="shared" si="26"/>
        <v/>
      </c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7" t="str">
        <f>IF(A19="","",COUNTIFS('6_主题证据映射'!$B$2:$B$501,A19,'6_主题证据映射'!$F$2:$F$501,"核心证据")+COUNTIFS('6_主题证据映射'!$B$2:$B$501,A19,'6_主题证据映射'!$F$2:$F$501,"支持证据"))</f>
        <v/>
      </c>
      <c r="S19" s="27" t="str">
        <f>IF(A19="","",COUNTIFS('6_主题证据映射'!$B$2:$B$501,A19,'6_主题证据映射'!$F$2:$F$501,"反例证据"))</f>
        <v/>
      </c>
      <c r="T19" s="27" t="str">
        <f t="shared" si="26"/>
        <v/>
      </c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7" t="str">
        <f>IF(A20="","",COUNTIFS('6_主题证据映射'!$B$2:$B$501,A20,'6_主题证据映射'!$F$2:$F$501,"核心证据")+COUNTIFS('6_主题证据映射'!$B$2:$B$501,A20,'6_主题证据映射'!$F$2:$F$501,"支持证据"))</f>
        <v/>
      </c>
      <c r="S20" s="27" t="str">
        <f>IF(A20="","",COUNTIFS('6_主题证据映射'!$B$2:$B$501,A20,'6_主题证据映射'!$F$2:$F$501,"反例证据"))</f>
        <v/>
      </c>
      <c r="T20" s="27" t="str">
        <f t="shared" si="26"/>
        <v/>
      </c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7" t="str">
        <f>IF(A21="","",COUNTIFS('6_主题证据映射'!$B$2:$B$501,A21,'6_主题证据映射'!$F$2:$F$501,"核心证据")+COUNTIFS('6_主题证据映射'!$B$2:$B$501,A21,'6_主题证据映射'!$F$2:$F$501,"支持证据"))</f>
        <v/>
      </c>
      <c r="S21" s="27" t="str">
        <f>IF(A21="","",COUNTIFS('6_主题证据映射'!$B$2:$B$501,A21,'6_主题证据映射'!$F$2:$F$501,"反例证据"))</f>
        <v/>
      </c>
      <c r="T21" s="27" t="str">
        <f t="shared" si="26"/>
        <v/>
      </c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7" t="str">
        <f>IF(A22="","",COUNTIFS('6_主题证据映射'!$B$2:$B$501,A22,'6_主题证据映射'!$F$2:$F$501,"核心证据")+COUNTIFS('6_主题证据映射'!$B$2:$B$501,A22,'6_主题证据映射'!$F$2:$F$501,"支持证据"))</f>
        <v/>
      </c>
      <c r="S22" s="27" t="str">
        <f>IF(A22="","",COUNTIFS('6_主题证据映射'!$B$2:$B$501,A22,'6_主题证据映射'!$F$2:$F$501,"反例证据"))</f>
        <v/>
      </c>
      <c r="T22" s="27" t="str">
        <f t="shared" si="26"/>
        <v/>
      </c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7" t="str">
        <f>IF(A23="","",COUNTIFS('6_主题证据映射'!$B$2:$B$501,A23,'6_主题证据映射'!$F$2:$F$501,"核心证据")+COUNTIFS('6_主题证据映射'!$B$2:$B$501,A23,'6_主题证据映射'!$F$2:$F$501,"支持证据"))</f>
        <v/>
      </c>
      <c r="S23" s="27" t="str">
        <f>IF(A23="","",COUNTIFS('6_主题证据映射'!$B$2:$B$501,A23,'6_主题证据映射'!$F$2:$F$501,"反例证据"))</f>
        <v/>
      </c>
      <c r="T23" s="27" t="str">
        <f t="shared" si="26"/>
        <v/>
      </c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7" t="str">
        <f>IF(A24="","",COUNTIFS('6_主题证据映射'!$B$2:$B$501,A24,'6_主题证据映射'!$F$2:$F$501,"核心证据")+COUNTIFS('6_主题证据映射'!$B$2:$B$501,A24,'6_主题证据映射'!$F$2:$F$501,"支持证据"))</f>
        <v/>
      </c>
      <c r="S24" s="27" t="str">
        <f>IF(A24="","",COUNTIFS('6_主题证据映射'!$B$2:$B$501,A24,'6_主题证据映射'!$F$2:$F$501,"反例证据"))</f>
        <v/>
      </c>
      <c r="T24" s="27" t="str">
        <f t="shared" si="26"/>
        <v/>
      </c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7" t="str">
        <f>IF(A25="","",COUNTIFS('6_主题证据映射'!$B$2:$B$501,A25,'6_主题证据映射'!$F$2:$F$501,"核心证据")+COUNTIFS('6_主题证据映射'!$B$2:$B$501,A25,'6_主题证据映射'!$F$2:$F$501,"支持证据"))</f>
        <v/>
      </c>
      <c r="S25" s="27" t="str">
        <f>IF(A25="","",COUNTIFS('6_主题证据映射'!$B$2:$B$501,A25,'6_主题证据映射'!$F$2:$F$501,"反例证据"))</f>
        <v/>
      </c>
      <c r="T25" s="27" t="str">
        <f t="shared" si="26"/>
        <v/>
      </c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7" t="str">
        <f>IF(A26="","",COUNTIFS('6_主题证据映射'!$B$2:$B$501,A26,'6_主题证据映射'!$F$2:$F$501,"核心证据")+COUNTIFS('6_主题证据映射'!$B$2:$B$501,A26,'6_主题证据映射'!$F$2:$F$501,"支持证据"))</f>
        <v/>
      </c>
      <c r="S26" s="27" t="str">
        <f>IF(A26="","",COUNTIFS('6_主题证据映射'!$B$2:$B$501,A26,'6_主题证据映射'!$F$2:$F$501,"反例证据"))</f>
        <v/>
      </c>
      <c r="T26" s="27" t="str">
        <f t="shared" si="26"/>
        <v/>
      </c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7" t="str">
        <f>IF(A27="","",COUNTIFS('6_主题证据映射'!$B$2:$B$501,A27,'6_主题证据映射'!$F$2:$F$501,"核心证据")+COUNTIFS('6_主题证据映射'!$B$2:$B$501,A27,'6_主题证据映射'!$F$2:$F$501,"支持证据"))</f>
        <v/>
      </c>
      <c r="S27" s="27" t="str">
        <f>IF(A27="","",COUNTIFS('6_主题证据映射'!$B$2:$B$501,A27,'6_主题证据映射'!$F$2:$F$501,"反例证据"))</f>
        <v/>
      </c>
      <c r="T27" s="27" t="str">
        <f t="shared" si="26"/>
        <v/>
      </c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7" t="str">
        <f>IF(A28="","",COUNTIFS('6_主题证据映射'!$B$2:$B$501,A28,'6_主题证据映射'!$F$2:$F$501,"核心证据")+COUNTIFS('6_主题证据映射'!$B$2:$B$501,A28,'6_主题证据映射'!$F$2:$F$501,"支持证据"))</f>
        <v/>
      </c>
      <c r="S28" s="27" t="str">
        <f>IF(A28="","",COUNTIFS('6_主题证据映射'!$B$2:$B$501,A28,'6_主题证据映射'!$F$2:$F$501,"反例证据"))</f>
        <v/>
      </c>
      <c r="T28" s="27" t="str">
        <f t="shared" si="26"/>
        <v/>
      </c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7" t="str">
        <f>IF(A29="","",COUNTIFS('6_主题证据映射'!$B$2:$B$501,A29,'6_主题证据映射'!$F$2:$F$501,"核心证据")+COUNTIFS('6_主题证据映射'!$B$2:$B$501,A29,'6_主题证据映射'!$F$2:$F$501,"支持证据"))</f>
        <v/>
      </c>
      <c r="S29" s="27" t="str">
        <f>IF(A29="","",COUNTIFS('6_主题证据映射'!$B$2:$B$501,A29,'6_主题证据映射'!$F$2:$F$501,"反例证据"))</f>
        <v/>
      </c>
      <c r="T29" s="27" t="str">
        <f t="shared" si="26"/>
        <v/>
      </c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7" t="str">
        <f>IF(A30="","",COUNTIFS('6_主题证据映射'!$B$2:$B$501,A30,'6_主题证据映射'!$F$2:$F$501,"核心证据")+COUNTIFS('6_主题证据映射'!$B$2:$B$501,A30,'6_主题证据映射'!$F$2:$F$501,"支持证据"))</f>
        <v/>
      </c>
      <c r="S30" s="27" t="str">
        <f>IF(A30="","",COUNTIFS('6_主题证据映射'!$B$2:$B$501,A30,'6_主题证据映射'!$F$2:$F$501,"反例证据"))</f>
        <v/>
      </c>
      <c r="T30" s="27" t="str">
        <f t="shared" si="26"/>
        <v/>
      </c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7" t="str">
        <f>IF(A31="","",COUNTIFS('6_主题证据映射'!$B$2:$B$501,A31,'6_主题证据映射'!$F$2:$F$501,"核心证据")+COUNTIFS('6_主题证据映射'!$B$2:$B$501,A31,'6_主题证据映射'!$F$2:$F$501,"支持证据"))</f>
        <v/>
      </c>
      <c r="S31" s="27" t="str">
        <f>IF(A31="","",COUNTIFS('6_主题证据映射'!$B$2:$B$501,A31,'6_主题证据映射'!$F$2:$F$501,"反例证据"))</f>
        <v/>
      </c>
      <c r="T31" s="27" t="str">
        <f t="shared" si="26"/>
        <v/>
      </c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7" t="str">
        <f>IF(A32="","",COUNTIFS('6_主题证据映射'!$B$2:$B$501,A32,'6_主题证据映射'!$F$2:$F$501,"核心证据")+COUNTIFS('6_主题证据映射'!$B$2:$B$501,A32,'6_主题证据映射'!$F$2:$F$501,"支持证据"))</f>
        <v/>
      </c>
      <c r="S32" s="27" t="str">
        <f>IF(A32="","",COUNTIFS('6_主题证据映射'!$B$2:$B$501,A32,'6_主题证据映射'!$F$2:$F$501,"反例证据"))</f>
        <v/>
      </c>
      <c r="T32" s="27" t="str">
        <f t="shared" si="26"/>
        <v/>
      </c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7" t="str">
        <f>IF(A33="","",COUNTIFS('6_主题证据映射'!$B$2:$B$501,A33,'6_主题证据映射'!$F$2:$F$501,"核心证据")+COUNTIFS('6_主题证据映射'!$B$2:$B$501,A33,'6_主题证据映射'!$F$2:$F$501,"支持证据"))</f>
        <v/>
      </c>
      <c r="S33" s="27" t="str">
        <f>IF(A33="","",COUNTIFS('6_主题证据映射'!$B$2:$B$501,A33,'6_主题证据映射'!$F$2:$F$501,"反例证据"))</f>
        <v/>
      </c>
      <c r="T33" s="27" t="str">
        <f t="shared" si="26"/>
        <v/>
      </c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7" t="str">
        <f>IF(A34="","",COUNTIFS('6_主题证据映射'!$B$2:$B$501,A34,'6_主题证据映射'!$F$2:$F$501,"核心证据")+COUNTIFS('6_主题证据映射'!$B$2:$B$501,A34,'6_主题证据映射'!$F$2:$F$501,"支持证据"))</f>
        <v/>
      </c>
      <c r="S34" s="27" t="str">
        <f>IF(A34="","",COUNTIFS('6_主题证据映射'!$B$2:$B$501,A34,'6_主题证据映射'!$F$2:$F$501,"反例证据"))</f>
        <v/>
      </c>
      <c r="T34" s="27" t="str">
        <f t="shared" si="26"/>
        <v/>
      </c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7" t="str">
        <f>IF(A35="","",COUNTIFS('6_主题证据映射'!$B$2:$B$501,A35,'6_主题证据映射'!$F$2:$F$501,"核心证据")+COUNTIFS('6_主题证据映射'!$B$2:$B$501,A35,'6_主题证据映射'!$F$2:$F$501,"支持证据"))</f>
        <v/>
      </c>
      <c r="S35" s="27" t="str">
        <f>IF(A35="","",COUNTIFS('6_主题证据映射'!$B$2:$B$501,A35,'6_主题证据映射'!$F$2:$F$501,"反例证据"))</f>
        <v/>
      </c>
      <c r="T35" s="27" t="str">
        <f t="shared" si="26"/>
        <v/>
      </c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7" t="str">
        <f>IF(A36="","",COUNTIFS('6_主题证据映射'!$B$2:$B$501,A36,'6_主题证据映射'!$F$2:$F$501,"核心证据")+COUNTIFS('6_主题证据映射'!$B$2:$B$501,A36,'6_主题证据映射'!$F$2:$F$501,"支持证据"))</f>
        <v/>
      </c>
      <c r="S36" s="27" t="str">
        <f>IF(A36="","",COUNTIFS('6_主题证据映射'!$B$2:$B$501,A36,'6_主题证据映射'!$F$2:$F$501,"反例证据"))</f>
        <v/>
      </c>
      <c r="T36" s="27" t="str">
        <f t="shared" si="26"/>
        <v/>
      </c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7" t="str">
        <f>IF(A37="","",COUNTIFS('6_主题证据映射'!$B$2:$B$501,A37,'6_主题证据映射'!$F$2:$F$501,"核心证据")+COUNTIFS('6_主题证据映射'!$B$2:$B$501,A37,'6_主题证据映射'!$F$2:$F$501,"支持证据"))</f>
        <v/>
      </c>
      <c r="S37" s="27" t="str">
        <f>IF(A37="","",COUNTIFS('6_主题证据映射'!$B$2:$B$501,A37,'6_主题证据映射'!$F$2:$F$501,"反例证据"))</f>
        <v/>
      </c>
      <c r="T37" s="27" t="str">
        <f t="shared" si="26"/>
        <v/>
      </c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7" t="str">
        <f>IF(A38="","",COUNTIFS('6_主题证据映射'!$B$2:$B$501,A38,'6_主题证据映射'!$F$2:$F$501,"核心证据")+COUNTIFS('6_主题证据映射'!$B$2:$B$501,A38,'6_主题证据映射'!$F$2:$F$501,"支持证据"))</f>
        <v/>
      </c>
      <c r="S38" s="27" t="str">
        <f>IF(A38="","",COUNTIFS('6_主题证据映射'!$B$2:$B$501,A38,'6_主题证据映射'!$F$2:$F$501,"反例证据"))</f>
        <v/>
      </c>
      <c r="T38" s="27" t="str">
        <f t="shared" si="26"/>
        <v/>
      </c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7" t="str">
        <f>IF(A39="","",COUNTIFS('6_主题证据映射'!$B$2:$B$501,A39,'6_主题证据映射'!$F$2:$F$501,"核心证据")+COUNTIFS('6_主题证据映射'!$B$2:$B$501,A39,'6_主题证据映射'!$F$2:$F$501,"支持证据"))</f>
        <v/>
      </c>
      <c r="S39" s="27" t="str">
        <f>IF(A39="","",COUNTIFS('6_主题证据映射'!$B$2:$B$501,A39,'6_主题证据映射'!$F$2:$F$501,"反例证据"))</f>
        <v/>
      </c>
      <c r="T39" s="27" t="str">
        <f t="shared" si="26"/>
        <v/>
      </c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7" t="str">
        <f>IF(A40="","",COUNTIFS('6_主题证据映射'!$B$2:$B$501,A40,'6_主题证据映射'!$F$2:$F$501,"核心证据")+COUNTIFS('6_主题证据映射'!$B$2:$B$501,A40,'6_主题证据映射'!$F$2:$F$501,"支持证据"))</f>
        <v/>
      </c>
      <c r="S40" s="27" t="str">
        <f>IF(A40="","",COUNTIFS('6_主题证据映射'!$B$2:$B$501,A40,'6_主题证据映射'!$F$2:$F$501,"反例证据"))</f>
        <v/>
      </c>
      <c r="T40" s="27" t="str">
        <f t="shared" si="26"/>
        <v/>
      </c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7" t="str">
        <f>IF(A41="","",COUNTIFS('6_主题证据映射'!$B$2:$B$501,A41,'6_主题证据映射'!$F$2:$F$501,"核心证据")+COUNTIFS('6_主题证据映射'!$B$2:$B$501,A41,'6_主题证据映射'!$F$2:$F$501,"支持证据"))</f>
        <v/>
      </c>
      <c r="S41" s="27" t="str">
        <f>IF(A41="","",COUNTIFS('6_主题证据映射'!$B$2:$B$501,A41,'6_主题证据映射'!$F$2:$F$501,"反例证据"))</f>
        <v/>
      </c>
      <c r="T41" s="27" t="str">
        <f t="shared" si="26"/>
        <v/>
      </c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7" t="str">
        <f>IF(A42="","",COUNTIFS('6_主题证据映射'!$B$2:$B$501,A42,'6_主题证据映射'!$F$2:$F$501,"核心证据")+COUNTIFS('6_主题证据映射'!$B$2:$B$501,A42,'6_主题证据映射'!$F$2:$F$501,"支持证据"))</f>
        <v/>
      </c>
      <c r="S42" s="27" t="str">
        <f>IF(A42="","",COUNTIFS('6_主题证据映射'!$B$2:$B$501,A42,'6_主题证据映射'!$F$2:$F$501,"反例证据"))</f>
        <v/>
      </c>
      <c r="T42" s="27" t="str">
        <f t="shared" si="26"/>
        <v/>
      </c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7" t="str">
        <f>IF(A43="","",COUNTIFS('6_主题证据映射'!$B$2:$B$501,A43,'6_主题证据映射'!$F$2:$F$501,"核心证据")+COUNTIFS('6_主题证据映射'!$B$2:$B$501,A43,'6_主题证据映射'!$F$2:$F$501,"支持证据"))</f>
        <v/>
      </c>
      <c r="S43" s="27" t="str">
        <f>IF(A43="","",COUNTIFS('6_主题证据映射'!$B$2:$B$501,A43,'6_主题证据映射'!$F$2:$F$501,"反例证据"))</f>
        <v/>
      </c>
      <c r="T43" s="27" t="str">
        <f t="shared" si="26"/>
        <v/>
      </c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7" t="str">
        <f>IF(A44="","",COUNTIFS('6_主题证据映射'!$B$2:$B$501,A44,'6_主题证据映射'!$F$2:$F$501,"核心证据")+COUNTIFS('6_主题证据映射'!$B$2:$B$501,A44,'6_主题证据映射'!$F$2:$F$501,"支持证据"))</f>
        <v/>
      </c>
      <c r="S44" s="27" t="str">
        <f>IF(A44="","",COUNTIFS('6_主题证据映射'!$B$2:$B$501,A44,'6_主题证据映射'!$F$2:$F$501,"反例证据"))</f>
        <v/>
      </c>
      <c r="T44" s="27" t="str">
        <f t="shared" si="26"/>
        <v/>
      </c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7" t="str">
        <f>IF(A45="","",COUNTIFS('6_主题证据映射'!$B$2:$B$501,A45,'6_主题证据映射'!$F$2:$F$501,"核心证据")+COUNTIFS('6_主题证据映射'!$B$2:$B$501,A45,'6_主题证据映射'!$F$2:$F$501,"支持证据"))</f>
        <v/>
      </c>
      <c r="S45" s="27" t="str">
        <f>IF(A45="","",COUNTIFS('6_主题证据映射'!$B$2:$B$501,A45,'6_主题证据映射'!$F$2:$F$501,"反例证据"))</f>
        <v/>
      </c>
      <c r="T45" s="27" t="str">
        <f t="shared" si="26"/>
        <v/>
      </c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7" t="str">
        <f>IF(A46="","",COUNTIFS('6_主题证据映射'!$B$2:$B$501,A46,'6_主题证据映射'!$F$2:$F$501,"核心证据")+COUNTIFS('6_主题证据映射'!$B$2:$B$501,A46,'6_主题证据映射'!$F$2:$F$501,"支持证据"))</f>
        <v/>
      </c>
      <c r="S46" s="27" t="str">
        <f>IF(A46="","",COUNTIFS('6_主题证据映射'!$B$2:$B$501,A46,'6_主题证据映射'!$F$2:$F$501,"反例证据"))</f>
        <v/>
      </c>
      <c r="T46" s="27" t="str">
        <f t="shared" si="26"/>
        <v/>
      </c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7" t="str">
        <f>IF(A47="","",COUNTIFS('6_主题证据映射'!$B$2:$B$501,A47,'6_主题证据映射'!$F$2:$F$501,"核心证据")+COUNTIFS('6_主题证据映射'!$B$2:$B$501,A47,'6_主题证据映射'!$F$2:$F$501,"支持证据"))</f>
        <v/>
      </c>
      <c r="S47" s="27" t="str">
        <f>IF(A47="","",COUNTIFS('6_主题证据映射'!$B$2:$B$501,A47,'6_主题证据映射'!$F$2:$F$501,"反例证据"))</f>
        <v/>
      </c>
      <c r="T47" s="27" t="str">
        <f t="shared" si="26"/>
        <v/>
      </c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7" t="str">
        <f>IF(A48="","",COUNTIFS('6_主题证据映射'!$B$2:$B$501,A48,'6_主题证据映射'!$F$2:$F$501,"核心证据")+COUNTIFS('6_主题证据映射'!$B$2:$B$501,A48,'6_主题证据映射'!$F$2:$F$501,"支持证据"))</f>
        <v/>
      </c>
      <c r="S48" s="27" t="str">
        <f>IF(A48="","",COUNTIFS('6_主题证据映射'!$B$2:$B$501,A48,'6_主题证据映射'!$F$2:$F$501,"反例证据"))</f>
        <v/>
      </c>
      <c r="T48" s="27" t="str">
        <f t="shared" si="26"/>
        <v/>
      </c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7" t="str">
        <f>IF(A49="","",COUNTIFS('6_主题证据映射'!$B$2:$B$501,A49,'6_主题证据映射'!$F$2:$F$501,"核心证据")+COUNTIFS('6_主题证据映射'!$B$2:$B$501,A49,'6_主题证据映射'!$F$2:$F$501,"支持证据"))</f>
        <v/>
      </c>
      <c r="S49" s="27" t="str">
        <f>IF(A49="","",COUNTIFS('6_主题证据映射'!$B$2:$B$501,A49,'6_主题证据映射'!$F$2:$F$501,"反例证据"))</f>
        <v/>
      </c>
      <c r="T49" s="27" t="str">
        <f t="shared" si="26"/>
        <v/>
      </c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7" t="str">
        <f>IF(A50="","",COUNTIFS('6_主题证据映射'!$B$2:$B$501,A50,'6_主题证据映射'!$F$2:$F$501,"核心证据")+COUNTIFS('6_主题证据映射'!$B$2:$B$501,A50,'6_主题证据映射'!$F$2:$F$501,"支持证据"))</f>
        <v/>
      </c>
      <c r="S50" s="27" t="str">
        <f>IF(A50="","",COUNTIFS('6_主题证据映射'!$B$2:$B$501,A50,'6_主题证据映射'!$F$2:$F$501,"反例证据"))</f>
        <v/>
      </c>
      <c r="T50" s="27" t="str">
        <f t="shared" si="26"/>
        <v/>
      </c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7" t="str">
        <f>IF(A51="","",COUNTIFS('6_主题证据映射'!$B$2:$B$501,A51,'6_主题证据映射'!$F$2:$F$501,"核心证据")+COUNTIFS('6_主题证据映射'!$B$2:$B$501,A51,'6_主题证据映射'!$F$2:$F$501,"支持证据"))</f>
        <v/>
      </c>
      <c r="S51" s="27" t="str">
        <f>IF(A51="","",COUNTIFS('6_主题证据映射'!$B$2:$B$501,A51,'6_主题证据映射'!$F$2:$F$501,"反例证据"))</f>
        <v/>
      </c>
      <c r="T51" s="27" t="str">
        <f t="shared" si="26"/>
        <v/>
      </c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7" t="str">
        <f>IF(A52="","",COUNTIFS('6_主题证据映射'!$B$2:$B$501,A52,'6_主题证据映射'!$F$2:$F$501,"核心证据")+COUNTIFS('6_主题证据映射'!$B$2:$B$501,A52,'6_主题证据映射'!$F$2:$F$501,"支持证据"))</f>
        <v/>
      </c>
      <c r="S52" s="27" t="str">
        <f>IF(A52="","",COUNTIFS('6_主题证据映射'!$B$2:$B$501,A52,'6_主题证据映射'!$F$2:$F$501,"反例证据"))</f>
        <v/>
      </c>
      <c r="T52" s="27" t="str">
        <f t="shared" si="26"/>
        <v/>
      </c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7" t="str">
        <f>IF(A53="","",COUNTIFS('6_主题证据映射'!$B$2:$B$501,A53,'6_主题证据映射'!$F$2:$F$501,"核心证据")+COUNTIFS('6_主题证据映射'!$B$2:$B$501,A53,'6_主题证据映射'!$F$2:$F$501,"支持证据"))</f>
        <v/>
      </c>
      <c r="S53" s="27" t="str">
        <f>IF(A53="","",COUNTIFS('6_主题证据映射'!$B$2:$B$501,A53,'6_主题证据映射'!$F$2:$F$501,"反例证据"))</f>
        <v/>
      </c>
      <c r="T53" s="27" t="str">
        <f t="shared" si="26"/>
        <v/>
      </c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7" t="str">
        <f>IF(A54="","",COUNTIFS('6_主题证据映射'!$B$2:$B$501,A54,'6_主题证据映射'!$F$2:$F$501,"核心证据")+COUNTIFS('6_主题证据映射'!$B$2:$B$501,A54,'6_主题证据映射'!$F$2:$F$501,"支持证据"))</f>
        <v/>
      </c>
      <c r="S54" s="27" t="str">
        <f>IF(A54="","",COUNTIFS('6_主题证据映射'!$B$2:$B$501,A54,'6_主题证据映射'!$F$2:$F$501,"反例证据"))</f>
        <v/>
      </c>
      <c r="T54" s="27" t="str">
        <f t="shared" si="26"/>
        <v/>
      </c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7" t="str">
        <f>IF(A55="","",COUNTIFS('6_主题证据映射'!$B$2:$B$501,A55,'6_主题证据映射'!$F$2:$F$501,"核心证据")+COUNTIFS('6_主题证据映射'!$B$2:$B$501,A55,'6_主题证据映射'!$F$2:$F$501,"支持证据"))</f>
        <v/>
      </c>
      <c r="S55" s="27" t="str">
        <f>IF(A55="","",COUNTIFS('6_主题证据映射'!$B$2:$B$501,A55,'6_主题证据映射'!$F$2:$F$501,"反例证据"))</f>
        <v/>
      </c>
      <c r="T55" s="27" t="str">
        <f t="shared" si="26"/>
        <v/>
      </c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7" t="str">
        <f>IF(A56="","",COUNTIFS('6_主题证据映射'!$B$2:$B$501,A56,'6_主题证据映射'!$F$2:$F$501,"核心证据")+COUNTIFS('6_主题证据映射'!$B$2:$B$501,A56,'6_主题证据映射'!$F$2:$F$501,"支持证据"))</f>
        <v/>
      </c>
      <c r="S56" s="27" t="str">
        <f>IF(A56="","",COUNTIFS('6_主题证据映射'!$B$2:$B$501,A56,'6_主题证据映射'!$F$2:$F$501,"反例证据"))</f>
        <v/>
      </c>
      <c r="T56" s="27" t="str">
        <f t="shared" si="26"/>
        <v/>
      </c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7" t="str">
        <f>IF(A57="","",COUNTIFS('6_主题证据映射'!$B$2:$B$501,A57,'6_主题证据映射'!$F$2:$F$501,"核心证据")+COUNTIFS('6_主题证据映射'!$B$2:$B$501,A57,'6_主题证据映射'!$F$2:$F$501,"支持证据"))</f>
        <v/>
      </c>
      <c r="S57" s="27" t="str">
        <f>IF(A57="","",COUNTIFS('6_主题证据映射'!$B$2:$B$501,A57,'6_主题证据映射'!$F$2:$F$501,"反例证据"))</f>
        <v/>
      </c>
      <c r="T57" s="27" t="str">
        <f t="shared" si="26"/>
        <v/>
      </c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7" t="str">
        <f>IF(A58="","",COUNTIFS('6_主题证据映射'!$B$2:$B$501,A58,'6_主题证据映射'!$F$2:$F$501,"核心证据")+COUNTIFS('6_主题证据映射'!$B$2:$B$501,A58,'6_主题证据映射'!$F$2:$F$501,"支持证据"))</f>
        <v/>
      </c>
      <c r="S58" s="27" t="str">
        <f>IF(A58="","",COUNTIFS('6_主题证据映射'!$B$2:$B$501,A58,'6_主题证据映射'!$F$2:$F$501,"反例证据"))</f>
        <v/>
      </c>
      <c r="T58" s="27" t="str">
        <f t="shared" si="26"/>
        <v/>
      </c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7" t="str">
        <f>IF(A59="","",COUNTIFS('6_主题证据映射'!$B$2:$B$501,A59,'6_主题证据映射'!$F$2:$F$501,"核心证据")+COUNTIFS('6_主题证据映射'!$B$2:$B$501,A59,'6_主题证据映射'!$F$2:$F$501,"支持证据"))</f>
        <v/>
      </c>
      <c r="S59" s="27" t="str">
        <f>IF(A59="","",COUNTIFS('6_主题证据映射'!$B$2:$B$501,A59,'6_主题证据映射'!$F$2:$F$501,"反例证据"))</f>
        <v/>
      </c>
      <c r="T59" s="27" t="str">
        <f t="shared" si="26"/>
        <v/>
      </c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7" t="str">
        <f>IF(A60="","",COUNTIFS('6_主题证据映射'!$B$2:$B$501,A60,'6_主题证据映射'!$F$2:$F$501,"核心证据")+COUNTIFS('6_主题证据映射'!$B$2:$B$501,A60,'6_主题证据映射'!$F$2:$F$501,"支持证据"))</f>
        <v/>
      </c>
      <c r="S60" s="27" t="str">
        <f>IF(A60="","",COUNTIFS('6_主题证据映射'!$B$2:$B$501,A60,'6_主题证据映射'!$F$2:$F$501,"反例证据"))</f>
        <v/>
      </c>
      <c r="T60" s="27" t="str">
        <f t="shared" si="26"/>
        <v/>
      </c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7" t="str">
        <f>IF(A61="","",COUNTIFS('6_主题证据映射'!$B$2:$B$501,A61,'6_主题证据映射'!$F$2:$F$501,"核心证据")+COUNTIFS('6_主题证据映射'!$B$2:$B$501,A61,'6_主题证据映射'!$F$2:$F$501,"支持证据"))</f>
        <v/>
      </c>
      <c r="S61" s="27" t="str">
        <f>IF(A61="","",COUNTIFS('6_主题证据映射'!$B$2:$B$501,A61,'6_主题证据映射'!$F$2:$F$501,"反例证据"))</f>
        <v/>
      </c>
      <c r="T61" s="27" t="str">
        <f t="shared" si="26"/>
        <v/>
      </c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7" t="str">
        <f>IF(A62="","",COUNTIFS('6_主题证据映射'!$B$2:$B$501,A62,'6_主题证据映射'!$F$2:$F$501,"核心证据")+COUNTIFS('6_主题证据映射'!$B$2:$B$501,A62,'6_主题证据映射'!$F$2:$F$501,"支持证据"))</f>
        <v/>
      </c>
      <c r="S62" s="27" t="str">
        <f>IF(A62="","",COUNTIFS('6_主题证据映射'!$B$2:$B$501,A62,'6_主题证据映射'!$F$2:$F$501,"反例证据"))</f>
        <v/>
      </c>
      <c r="T62" s="27" t="str">
        <f t="shared" si="26"/>
        <v/>
      </c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7" t="str">
        <f>IF(A63="","",COUNTIFS('6_主题证据映射'!$B$2:$B$501,A63,'6_主题证据映射'!$F$2:$F$501,"核心证据")+COUNTIFS('6_主题证据映射'!$B$2:$B$501,A63,'6_主题证据映射'!$F$2:$F$501,"支持证据"))</f>
        <v/>
      </c>
      <c r="S63" s="27" t="str">
        <f>IF(A63="","",COUNTIFS('6_主题证据映射'!$B$2:$B$501,A63,'6_主题证据映射'!$F$2:$F$501,"反例证据"))</f>
        <v/>
      </c>
      <c r="T63" s="27" t="str">
        <f t="shared" si="26"/>
        <v/>
      </c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7" t="str">
        <f>IF(A64="","",COUNTIFS('6_主题证据映射'!$B$2:$B$501,A64,'6_主题证据映射'!$F$2:$F$501,"核心证据")+COUNTIFS('6_主题证据映射'!$B$2:$B$501,A64,'6_主题证据映射'!$F$2:$F$501,"支持证据"))</f>
        <v/>
      </c>
      <c r="S64" s="27" t="str">
        <f>IF(A64="","",COUNTIFS('6_主题证据映射'!$B$2:$B$501,A64,'6_主题证据映射'!$F$2:$F$501,"反例证据"))</f>
        <v/>
      </c>
      <c r="T64" s="27" t="str">
        <f t="shared" si="26"/>
        <v/>
      </c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7" t="str">
        <f>IF(A65="","",COUNTIFS('6_主题证据映射'!$B$2:$B$501,A65,'6_主题证据映射'!$F$2:$F$501,"核心证据")+COUNTIFS('6_主题证据映射'!$B$2:$B$501,A65,'6_主题证据映射'!$F$2:$F$501,"支持证据"))</f>
        <v/>
      </c>
      <c r="S65" s="27" t="str">
        <f>IF(A65="","",COUNTIFS('6_主题证据映射'!$B$2:$B$501,A65,'6_主题证据映射'!$F$2:$F$501,"反例证据"))</f>
        <v/>
      </c>
      <c r="T65" s="27" t="str">
        <f t="shared" si="26"/>
        <v/>
      </c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7" t="str">
        <f>IF(A66="","",COUNTIFS('6_主题证据映射'!$B$2:$B$501,A66,'6_主题证据映射'!$F$2:$F$501,"核心证据")+COUNTIFS('6_主题证据映射'!$B$2:$B$501,A66,'6_主题证据映射'!$F$2:$F$501,"支持证据"))</f>
        <v/>
      </c>
      <c r="S66" s="27" t="str">
        <f>IF(A66="","",COUNTIFS('6_主题证据映射'!$B$2:$B$501,A66,'6_主题证据映射'!$F$2:$F$501,"反例证据"))</f>
        <v/>
      </c>
      <c r="T66" s="27" t="str">
        <f t="shared" si="26"/>
        <v/>
      </c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7" t="str">
        <f>IF(A67="","",COUNTIFS('6_主题证据映射'!$B$2:$B$501,A67,'6_主题证据映射'!$F$2:$F$501,"核心证据")+COUNTIFS('6_主题证据映射'!$B$2:$B$501,A67,'6_主题证据映射'!$F$2:$F$501,"支持证据"))</f>
        <v/>
      </c>
      <c r="S67" s="27" t="str">
        <f>IF(A67="","",COUNTIFS('6_主题证据映射'!$B$2:$B$501,A67,'6_主题证据映射'!$F$2:$F$501,"反例证据"))</f>
        <v/>
      </c>
      <c r="T67" s="27" t="str">
        <f t="shared" si="26"/>
        <v/>
      </c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7" t="str">
        <f>IF(A68="","",COUNTIFS('6_主题证据映射'!$B$2:$B$501,A68,'6_主题证据映射'!$F$2:$F$501,"核心证据")+COUNTIFS('6_主题证据映射'!$B$2:$B$501,A68,'6_主题证据映射'!$F$2:$F$501,"支持证据"))</f>
        <v/>
      </c>
      <c r="S68" s="27" t="str">
        <f>IF(A68="","",COUNTIFS('6_主题证据映射'!$B$2:$B$501,A68,'6_主题证据映射'!$F$2:$F$501,"反例证据"))</f>
        <v/>
      </c>
      <c r="T68" s="27" t="str">
        <f t="shared" si="26"/>
        <v/>
      </c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7" t="str">
        <f>IF(A69="","",COUNTIFS('6_主题证据映射'!$B$2:$B$501,A69,'6_主题证据映射'!$F$2:$F$501,"核心证据")+COUNTIFS('6_主题证据映射'!$B$2:$B$501,A69,'6_主题证据映射'!$F$2:$F$501,"支持证据"))</f>
        <v/>
      </c>
      <c r="S69" s="27" t="str">
        <f>IF(A69="","",COUNTIFS('6_主题证据映射'!$B$2:$B$501,A69,'6_主题证据映射'!$F$2:$F$501,"反例证据"))</f>
        <v/>
      </c>
      <c r="T69" s="27" t="str">
        <f t="shared" si="26"/>
        <v/>
      </c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7" t="str">
        <f>IF(A70="","",COUNTIFS('6_主题证据映射'!$B$2:$B$501,A70,'6_主题证据映射'!$F$2:$F$501,"核心证据")+COUNTIFS('6_主题证据映射'!$B$2:$B$501,A70,'6_主题证据映射'!$F$2:$F$501,"支持证据"))</f>
        <v/>
      </c>
      <c r="S70" s="27" t="str">
        <f>IF(A70="","",COUNTIFS('6_主题证据映射'!$B$2:$B$501,A70,'6_主题证据映射'!$F$2:$F$501,"反例证据"))</f>
        <v/>
      </c>
      <c r="T70" s="27" t="str">
        <f t="shared" si="26"/>
        <v/>
      </c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7" t="str">
        <f>IF(A71="","",COUNTIFS('6_主题证据映射'!$B$2:$B$501,A71,'6_主题证据映射'!$F$2:$F$501,"核心证据")+COUNTIFS('6_主题证据映射'!$B$2:$B$501,A71,'6_主题证据映射'!$F$2:$F$501,"支持证据"))</f>
        <v/>
      </c>
      <c r="S71" s="27" t="str">
        <f>IF(A71="","",COUNTIFS('6_主题证据映射'!$B$2:$B$501,A71,'6_主题证据映射'!$F$2:$F$501,"反例证据"))</f>
        <v/>
      </c>
      <c r="T71" s="27" t="str">
        <f t="shared" si="26"/>
        <v/>
      </c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7" t="str">
        <f>IF(A72="","",COUNTIFS('6_主题证据映射'!$B$2:$B$501,A72,'6_主题证据映射'!$F$2:$F$501,"核心证据")+COUNTIFS('6_主题证据映射'!$B$2:$B$501,A72,'6_主题证据映射'!$F$2:$F$501,"支持证据"))</f>
        <v/>
      </c>
      <c r="S72" s="27" t="str">
        <f>IF(A72="","",COUNTIFS('6_主题证据映射'!$B$2:$B$501,A72,'6_主题证据映射'!$F$2:$F$501,"反例证据"))</f>
        <v/>
      </c>
      <c r="T72" s="27" t="str">
        <f t="shared" si="26"/>
        <v/>
      </c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7" t="str">
        <f>IF(A73="","",COUNTIFS('6_主题证据映射'!$B$2:$B$501,A73,'6_主题证据映射'!$F$2:$F$501,"核心证据")+COUNTIFS('6_主题证据映射'!$B$2:$B$501,A73,'6_主题证据映射'!$F$2:$F$501,"支持证据"))</f>
        <v/>
      </c>
      <c r="S73" s="27" t="str">
        <f>IF(A73="","",COUNTIFS('6_主题证据映射'!$B$2:$B$501,A73,'6_主题证据映射'!$F$2:$F$501,"反例证据"))</f>
        <v/>
      </c>
      <c r="T73" s="27" t="str">
        <f t="shared" si="26"/>
        <v/>
      </c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7" t="str">
        <f>IF(A74="","",COUNTIFS('6_主题证据映射'!$B$2:$B$501,A74,'6_主题证据映射'!$F$2:$F$501,"核心证据")+COUNTIFS('6_主题证据映射'!$B$2:$B$501,A74,'6_主题证据映射'!$F$2:$F$501,"支持证据"))</f>
        <v/>
      </c>
      <c r="S74" s="27" t="str">
        <f>IF(A74="","",COUNTIFS('6_主题证据映射'!$B$2:$B$501,A74,'6_主题证据映射'!$F$2:$F$501,"反例证据"))</f>
        <v/>
      </c>
      <c r="T74" s="27" t="str">
        <f t="shared" ref="T74:T99" si="27">IF(A74="","",IF(OR(B74="",C74="",D74="",E74="",F74="",M74="",P74="",Q74=""),"需补充",IF(C74="保留",IF(OR(G74="",H74="",K74="未开始",L74&lt;&gt;"已完成",R74=0),"需复核","正常"),"正常")))</f>
        <v/>
      </c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7" t="str">
        <f>IF(A75="","",COUNTIFS('6_主题证据映射'!$B$2:$B$501,A75,'6_主题证据映射'!$F$2:$F$501,"核心证据")+COUNTIFS('6_主题证据映射'!$B$2:$B$501,A75,'6_主题证据映射'!$F$2:$F$501,"支持证据"))</f>
        <v/>
      </c>
      <c r="S75" s="27" t="str">
        <f>IF(A75="","",COUNTIFS('6_主题证据映射'!$B$2:$B$501,A75,'6_主题证据映射'!$F$2:$F$501,"反例证据"))</f>
        <v/>
      </c>
      <c r="T75" s="27" t="str">
        <f t="shared" si="27"/>
        <v/>
      </c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7" t="str">
        <f>IF(A76="","",COUNTIFS('6_主题证据映射'!$B$2:$B$501,A76,'6_主题证据映射'!$F$2:$F$501,"核心证据")+COUNTIFS('6_主题证据映射'!$B$2:$B$501,A76,'6_主题证据映射'!$F$2:$F$501,"支持证据"))</f>
        <v/>
      </c>
      <c r="S76" s="27" t="str">
        <f>IF(A76="","",COUNTIFS('6_主题证据映射'!$B$2:$B$501,A76,'6_主题证据映射'!$F$2:$F$501,"反例证据"))</f>
        <v/>
      </c>
      <c r="T76" s="27" t="str">
        <f t="shared" si="27"/>
        <v/>
      </c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7" t="str">
        <f>IF(A77="","",COUNTIFS('6_主题证据映射'!$B$2:$B$501,A77,'6_主题证据映射'!$F$2:$F$501,"核心证据")+COUNTIFS('6_主题证据映射'!$B$2:$B$501,A77,'6_主题证据映射'!$F$2:$F$501,"支持证据"))</f>
        <v/>
      </c>
      <c r="S77" s="27" t="str">
        <f>IF(A77="","",COUNTIFS('6_主题证据映射'!$B$2:$B$501,A77,'6_主题证据映射'!$F$2:$F$501,"反例证据"))</f>
        <v/>
      </c>
      <c r="T77" s="27" t="str">
        <f t="shared" si="27"/>
        <v/>
      </c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7" t="str">
        <f>IF(A78="","",COUNTIFS('6_主题证据映射'!$B$2:$B$501,A78,'6_主题证据映射'!$F$2:$F$501,"核心证据")+COUNTIFS('6_主题证据映射'!$B$2:$B$501,A78,'6_主题证据映射'!$F$2:$F$501,"支持证据"))</f>
        <v/>
      </c>
      <c r="S78" s="27" t="str">
        <f>IF(A78="","",COUNTIFS('6_主题证据映射'!$B$2:$B$501,A78,'6_主题证据映射'!$F$2:$F$501,"反例证据"))</f>
        <v/>
      </c>
      <c r="T78" s="27" t="str">
        <f t="shared" si="27"/>
        <v/>
      </c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7" t="str">
        <f>IF(A79="","",COUNTIFS('6_主题证据映射'!$B$2:$B$501,A79,'6_主题证据映射'!$F$2:$F$501,"核心证据")+COUNTIFS('6_主题证据映射'!$B$2:$B$501,A79,'6_主题证据映射'!$F$2:$F$501,"支持证据"))</f>
        <v/>
      </c>
      <c r="S79" s="27" t="str">
        <f>IF(A79="","",COUNTIFS('6_主题证据映射'!$B$2:$B$501,A79,'6_主题证据映射'!$F$2:$F$501,"反例证据"))</f>
        <v/>
      </c>
      <c r="T79" s="27" t="str">
        <f t="shared" si="27"/>
        <v/>
      </c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7" t="str">
        <f>IF(A80="","",COUNTIFS('6_主题证据映射'!$B$2:$B$501,A80,'6_主题证据映射'!$F$2:$F$501,"核心证据")+COUNTIFS('6_主题证据映射'!$B$2:$B$501,A80,'6_主题证据映射'!$F$2:$F$501,"支持证据"))</f>
        <v/>
      </c>
      <c r="S80" s="27" t="str">
        <f>IF(A80="","",COUNTIFS('6_主题证据映射'!$B$2:$B$501,A80,'6_主题证据映射'!$F$2:$F$501,"反例证据"))</f>
        <v/>
      </c>
      <c r="T80" s="27" t="str">
        <f t="shared" si="27"/>
        <v/>
      </c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7" t="str">
        <f>IF(A81="","",COUNTIFS('6_主题证据映射'!$B$2:$B$501,A81,'6_主题证据映射'!$F$2:$F$501,"核心证据")+COUNTIFS('6_主题证据映射'!$B$2:$B$501,A81,'6_主题证据映射'!$F$2:$F$501,"支持证据"))</f>
        <v/>
      </c>
      <c r="S81" s="27" t="str">
        <f>IF(A81="","",COUNTIFS('6_主题证据映射'!$B$2:$B$501,A81,'6_主题证据映射'!$F$2:$F$501,"反例证据"))</f>
        <v/>
      </c>
      <c r="T81" s="27" t="str">
        <f t="shared" si="27"/>
        <v/>
      </c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7" t="str">
        <f>IF(A82="","",COUNTIFS('6_主题证据映射'!$B$2:$B$501,A82,'6_主题证据映射'!$F$2:$F$501,"核心证据")+COUNTIFS('6_主题证据映射'!$B$2:$B$501,A82,'6_主题证据映射'!$F$2:$F$501,"支持证据"))</f>
        <v/>
      </c>
      <c r="S82" s="27" t="str">
        <f>IF(A82="","",COUNTIFS('6_主题证据映射'!$B$2:$B$501,A82,'6_主题证据映射'!$F$2:$F$501,"反例证据"))</f>
        <v/>
      </c>
      <c r="T82" s="27" t="str">
        <f t="shared" si="27"/>
        <v/>
      </c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7" t="str">
        <f>IF(A83="","",COUNTIFS('6_主题证据映射'!$B$2:$B$501,A83,'6_主题证据映射'!$F$2:$F$501,"核心证据")+COUNTIFS('6_主题证据映射'!$B$2:$B$501,A83,'6_主题证据映射'!$F$2:$F$501,"支持证据"))</f>
        <v/>
      </c>
      <c r="S83" s="27" t="str">
        <f>IF(A83="","",COUNTIFS('6_主题证据映射'!$B$2:$B$501,A83,'6_主题证据映射'!$F$2:$F$501,"反例证据"))</f>
        <v/>
      </c>
      <c r="T83" s="27" t="str">
        <f t="shared" si="27"/>
        <v/>
      </c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7" t="str">
        <f>IF(A84="","",COUNTIFS('6_主题证据映射'!$B$2:$B$501,A84,'6_主题证据映射'!$F$2:$F$501,"核心证据")+COUNTIFS('6_主题证据映射'!$B$2:$B$501,A84,'6_主题证据映射'!$F$2:$F$501,"支持证据"))</f>
        <v/>
      </c>
      <c r="S84" s="27" t="str">
        <f>IF(A84="","",COUNTIFS('6_主题证据映射'!$B$2:$B$501,A84,'6_主题证据映射'!$F$2:$F$501,"反例证据"))</f>
        <v/>
      </c>
      <c r="T84" s="27" t="str">
        <f t="shared" si="27"/>
        <v/>
      </c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7" t="str">
        <f>IF(A85="","",COUNTIFS('6_主题证据映射'!$B$2:$B$501,A85,'6_主题证据映射'!$F$2:$F$501,"核心证据")+COUNTIFS('6_主题证据映射'!$B$2:$B$501,A85,'6_主题证据映射'!$F$2:$F$501,"支持证据"))</f>
        <v/>
      </c>
      <c r="S85" s="27" t="str">
        <f>IF(A85="","",COUNTIFS('6_主题证据映射'!$B$2:$B$501,A85,'6_主题证据映射'!$F$2:$F$501,"反例证据"))</f>
        <v/>
      </c>
      <c r="T85" s="27" t="str">
        <f t="shared" si="27"/>
        <v/>
      </c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7" t="str">
        <f>IF(A86="","",COUNTIFS('6_主题证据映射'!$B$2:$B$501,A86,'6_主题证据映射'!$F$2:$F$501,"核心证据")+COUNTIFS('6_主题证据映射'!$B$2:$B$501,A86,'6_主题证据映射'!$F$2:$F$501,"支持证据"))</f>
        <v/>
      </c>
      <c r="S86" s="27" t="str">
        <f>IF(A86="","",COUNTIFS('6_主题证据映射'!$B$2:$B$501,A86,'6_主题证据映射'!$F$2:$F$501,"反例证据"))</f>
        <v/>
      </c>
      <c r="T86" s="27" t="str">
        <f t="shared" si="27"/>
        <v/>
      </c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7" t="str">
        <f>IF(A87="","",COUNTIFS('6_主题证据映射'!$B$2:$B$501,A87,'6_主题证据映射'!$F$2:$F$501,"核心证据")+COUNTIFS('6_主题证据映射'!$B$2:$B$501,A87,'6_主题证据映射'!$F$2:$F$501,"支持证据"))</f>
        <v/>
      </c>
      <c r="S87" s="27" t="str">
        <f>IF(A87="","",COUNTIFS('6_主题证据映射'!$B$2:$B$501,A87,'6_主题证据映射'!$F$2:$F$501,"反例证据"))</f>
        <v/>
      </c>
      <c r="T87" s="27" t="str">
        <f t="shared" si="27"/>
        <v/>
      </c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7" t="str">
        <f>IF(A88="","",COUNTIFS('6_主题证据映射'!$B$2:$B$501,A88,'6_主题证据映射'!$F$2:$F$501,"核心证据")+COUNTIFS('6_主题证据映射'!$B$2:$B$501,A88,'6_主题证据映射'!$F$2:$F$501,"支持证据"))</f>
        <v/>
      </c>
      <c r="S88" s="27" t="str">
        <f>IF(A88="","",COUNTIFS('6_主题证据映射'!$B$2:$B$501,A88,'6_主题证据映射'!$F$2:$F$501,"反例证据"))</f>
        <v/>
      </c>
      <c r="T88" s="27" t="str">
        <f t="shared" si="27"/>
        <v/>
      </c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7" t="str">
        <f>IF(A89="","",COUNTIFS('6_主题证据映射'!$B$2:$B$501,A89,'6_主题证据映射'!$F$2:$F$501,"核心证据")+COUNTIFS('6_主题证据映射'!$B$2:$B$501,A89,'6_主题证据映射'!$F$2:$F$501,"支持证据"))</f>
        <v/>
      </c>
      <c r="S89" s="27" t="str">
        <f>IF(A89="","",COUNTIFS('6_主题证据映射'!$B$2:$B$501,A89,'6_主题证据映射'!$F$2:$F$501,"反例证据"))</f>
        <v/>
      </c>
      <c r="T89" s="27" t="str">
        <f t="shared" si="27"/>
        <v/>
      </c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7" t="str">
        <f>IF(A90="","",COUNTIFS('6_主题证据映射'!$B$2:$B$501,A90,'6_主题证据映射'!$F$2:$F$501,"核心证据")+COUNTIFS('6_主题证据映射'!$B$2:$B$501,A90,'6_主题证据映射'!$F$2:$F$501,"支持证据"))</f>
        <v/>
      </c>
      <c r="S90" s="27" t="str">
        <f>IF(A90="","",COUNTIFS('6_主题证据映射'!$B$2:$B$501,A90,'6_主题证据映射'!$F$2:$F$501,"反例证据"))</f>
        <v/>
      </c>
      <c r="T90" s="27" t="str">
        <f t="shared" si="27"/>
        <v/>
      </c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7" t="str">
        <f>IF(A91="","",COUNTIFS('6_主题证据映射'!$B$2:$B$501,A91,'6_主题证据映射'!$F$2:$F$501,"核心证据")+COUNTIFS('6_主题证据映射'!$B$2:$B$501,A91,'6_主题证据映射'!$F$2:$F$501,"支持证据"))</f>
        <v/>
      </c>
      <c r="S91" s="27" t="str">
        <f>IF(A91="","",COUNTIFS('6_主题证据映射'!$B$2:$B$501,A91,'6_主题证据映射'!$F$2:$F$501,"反例证据"))</f>
        <v/>
      </c>
      <c r="T91" s="27" t="str">
        <f t="shared" si="27"/>
        <v/>
      </c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7" t="str">
        <f>IF(A92="","",COUNTIFS('6_主题证据映射'!$B$2:$B$501,A92,'6_主题证据映射'!$F$2:$F$501,"核心证据")+COUNTIFS('6_主题证据映射'!$B$2:$B$501,A92,'6_主题证据映射'!$F$2:$F$501,"支持证据"))</f>
        <v/>
      </c>
      <c r="S92" s="27" t="str">
        <f>IF(A92="","",COUNTIFS('6_主题证据映射'!$B$2:$B$501,A92,'6_主题证据映射'!$F$2:$F$501,"反例证据"))</f>
        <v/>
      </c>
      <c r="T92" s="27" t="str">
        <f t="shared" si="27"/>
        <v/>
      </c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7" t="str">
        <f>IF(A93="","",COUNTIFS('6_主题证据映射'!$B$2:$B$501,A93,'6_主题证据映射'!$F$2:$F$501,"核心证据")+COUNTIFS('6_主题证据映射'!$B$2:$B$501,A93,'6_主题证据映射'!$F$2:$F$501,"支持证据"))</f>
        <v/>
      </c>
      <c r="S93" s="27" t="str">
        <f>IF(A93="","",COUNTIFS('6_主题证据映射'!$B$2:$B$501,A93,'6_主题证据映射'!$F$2:$F$501,"反例证据"))</f>
        <v/>
      </c>
      <c r="T93" s="27" t="str">
        <f t="shared" si="27"/>
        <v/>
      </c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7" t="str">
        <f>IF(A94="","",COUNTIFS('6_主题证据映射'!$B$2:$B$501,A94,'6_主题证据映射'!$F$2:$F$501,"核心证据")+COUNTIFS('6_主题证据映射'!$B$2:$B$501,A94,'6_主题证据映射'!$F$2:$F$501,"支持证据"))</f>
        <v/>
      </c>
      <c r="S94" s="27" t="str">
        <f>IF(A94="","",COUNTIFS('6_主题证据映射'!$B$2:$B$501,A94,'6_主题证据映射'!$F$2:$F$501,"反例证据"))</f>
        <v/>
      </c>
      <c r="T94" s="27" t="str">
        <f t="shared" si="27"/>
        <v/>
      </c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7" t="str">
        <f>IF(A95="","",COUNTIFS('6_主题证据映射'!$B$2:$B$501,A95,'6_主题证据映射'!$F$2:$F$501,"核心证据")+COUNTIFS('6_主题证据映射'!$B$2:$B$501,A95,'6_主题证据映射'!$F$2:$F$501,"支持证据"))</f>
        <v/>
      </c>
      <c r="S95" s="27" t="str">
        <f>IF(A95="","",COUNTIFS('6_主题证据映射'!$B$2:$B$501,A95,'6_主题证据映射'!$F$2:$F$501,"反例证据"))</f>
        <v/>
      </c>
      <c r="T95" s="27" t="str">
        <f t="shared" si="27"/>
        <v/>
      </c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7" t="str">
        <f>IF(A96="","",COUNTIFS('6_主题证据映射'!$B$2:$B$501,A96,'6_主题证据映射'!$F$2:$F$501,"核心证据")+COUNTIFS('6_主题证据映射'!$B$2:$B$501,A96,'6_主题证据映射'!$F$2:$F$501,"支持证据"))</f>
        <v/>
      </c>
      <c r="S96" s="27" t="str">
        <f>IF(A96="","",COUNTIFS('6_主题证据映射'!$B$2:$B$501,A96,'6_主题证据映射'!$F$2:$F$501,"反例证据"))</f>
        <v/>
      </c>
      <c r="T96" s="27" t="str">
        <f t="shared" si="27"/>
        <v/>
      </c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7" t="str">
        <f>IF(A97="","",COUNTIFS('6_主题证据映射'!$B$2:$B$501,A97,'6_主题证据映射'!$F$2:$F$501,"核心证据")+COUNTIFS('6_主题证据映射'!$B$2:$B$501,A97,'6_主题证据映射'!$F$2:$F$501,"支持证据"))</f>
        <v/>
      </c>
      <c r="S97" s="27" t="str">
        <f>IF(A97="","",COUNTIFS('6_主题证据映射'!$B$2:$B$501,A97,'6_主题证据映射'!$F$2:$F$501,"反例证据"))</f>
        <v/>
      </c>
      <c r="T97" s="27" t="str">
        <f t="shared" si="27"/>
        <v/>
      </c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7" t="str">
        <f>IF(A98="","",COUNTIFS('6_主题证据映射'!$B$2:$B$501,A98,'6_主题证据映射'!$F$2:$F$501,"核心证据")+COUNTIFS('6_主题证据映射'!$B$2:$B$501,A98,'6_主题证据映射'!$F$2:$F$501,"支持证据"))</f>
        <v/>
      </c>
      <c r="S98" s="27" t="str">
        <f>IF(A98="","",COUNTIFS('6_主题证据映射'!$B$2:$B$501,A98,'6_主题证据映射'!$F$2:$F$501,"反例证据"))</f>
        <v/>
      </c>
      <c r="T98" s="27" t="str">
        <f t="shared" si="27"/>
        <v/>
      </c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7" t="str">
        <f>IF(A99="","",COUNTIFS('6_主题证据映射'!$B$2:$B$501,A99,'6_主题证据映射'!$F$2:$F$501,"核心证据")+COUNTIFS('6_主题证据映射'!$B$2:$B$501,A99,'6_主题证据映射'!$F$2:$F$501,"支持证据"))</f>
        <v/>
      </c>
      <c r="S99" s="27" t="str">
        <f>IF(A99="","",COUNTIFS('6_主题证据映射'!$B$2:$B$501,A99,'6_主题证据映射'!$F$2:$F$501,"反例证据"))</f>
        <v/>
      </c>
      <c r="T99" s="27" t="str">
        <f t="shared" si="27"/>
        <v/>
      </c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7" t="str">
        <f>IF(A100="","",COUNTIFS('6_主题证据映射'!$B$2:$B$501,A100,'6_主题证据映射'!$F$2:$F$501,"核心证据")+COUNTIFS('6_主题证据映射'!$B$2:$B$501,A100,'6_主题证据映射'!$F$2:$F$501,"支持证据"))</f>
        <v/>
      </c>
      <c r="S100" s="27" t="str">
        <f>IF(A100="","",COUNTIFS('6_主题证据映射'!$B$2:$B$501,A100,'6_主题证据映射'!$F$2:$F$501,"反例证据"))</f>
        <v/>
      </c>
      <c r="T100" s="27" t="str">
        <f t="shared" ref="T100:T163" si="28">IF(A100="","",IF(OR(B100="",C100="",D100="",E100="",F100="",M100="",P100="",Q100=""),"需补充",IF(C100="保留",IF(OR(G100="",H100="",K100="未开始",L100&lt;&gt;"已完成",R100=0),"需复核","正常"),"正常")))</f>
        <v/>
      </c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7" t="str">
        <f>IF(A101="","",COUNTIFS('6_主题证据映射'!$B$2:$B$501,A101,'6_主题证据映射'!$F$2:$F$501,"核心证据")+COUNTIFS('6_主题证据映射'!$B$2:$B$501,A101,'6_主题证据映射'!$F$2:$F$501,"支持证据"))</f>
        <v/>
      </c>
      <c r="S101" s="27" t="str">
        <f>IF(A101="","",COUNTIFS('6_主题证据映射'!$B$2:$B$501,A101,'6_主题证据映射'!$F$2:$F$501,"反例证据"))</f>
        <v/>
      </c>
      <c r="T101" s="27" t="str">
        <f t="shared" si="28"/>
        <v/>
      </c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7" t="str">
        <f>IF(A102="","",COUNTIFS('6_主题证据映射'!$B$2:$B$501,A102,'6_主题证据映射'!$F$2:$F$501,"核心证据")+COUNTIFS('6_主题证据映射'!$B$2:$B$501,A102,'6_主题证据映射'!$F$2:$F$501,"支持证据"))</f>
        <v/>
      </c>
      <c r="S102" s="27" t="str">
        <f>IF(A102="","",COUNTIFS('6_主题证据映射'!$B$2:$B$501,A102,'6_主题证据映射'!$F$2:$F$501,"反例证据"))</f>
        <v/>
      </c>
      <c r="T102" s="27" t="str">
        <f t="shared" si="28"/>
        <v/>
      </c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7" t="str">
        <f>IF(A103="","",COUNTIFS('6_主题证据映射'!$B$2:$B$501,A103,'6_主题证据映射'!$F$2:$F$501,"核心证据")+COUNTIFS('6_主题证据映射'!$B$2:$B$501,A103,'6_主题证据映射'!$F$2:$F$501,"支持证据"))</f>
        <v/>
      </c>
      <c r="S103" s="27" t="str">
        <f>IF(A103="","",COUNTIFS('6_主题证据映射'!$B$2:$B$501,A103,'6_主题证据映射'!$F$2:$F$501,"反例证据"))</f>
        <v/>
      </c>
      <c r="T103" s="27" t="str">
        <f t="shared" si="28"/>
        <v/>
      </c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7" t="str">
        <f>IF(A104="","",COUNTIFS('6_主题证据映射'!$B$2:$B$501,A104,'6_主题证据映射'!$F$2:$F$501,"核心证据")+COUNTIFS('6_主题证据映射'!$B$2:$B$501,A104,'6_主题证据映射'!$F$2:$F$501,"支持证据"))</f>
        <v/>
      </c>
      <c r="S104" s="27" t="str">
        <f>IF(A104="","",COUNTIFS('6_主题证据映射'!$B$2:$B$501,A104,'6_主题证据映射'!$F$2:$F$501,"反例证据"))</f>
        <v/>
      </c>
      <c r="T104" s="27" t="str">
        <f t="shared" si="28"/>
        <v/>
      </c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7" t="str">
        <f>IF(A105="","",COUNTIFS('6_主题证据映射'!$B$2:$B$501,A105,'6_主题证据映射'!$F$2:$F$501,"核心证据")+COUNTIFS('6_主题证据映射'!$B$2:$B$501,A105,'6_主题证据映射'!$F$2:$F$501,"支持证据"))</f>
        <v/>
      </c>
      <c r="S105" s="27" t="str">
        <f>IF(A105="","",COUNTIFS('6_主题证据映射'!$B$2:$B$501,A105,'6_主题证据映射'!$F$2:$F$501,"反例证据"))</f>
        <v/>
      </c>
      <c r="T105" s="27" t="str">
        <f t="shared" si="28"/>
        <v/>
      </c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7" t="str">
        <f>IF(A106="","",COUNTIFS('6_主题证据映射'!$B$2:$B$501,A106,'6_主题证据映射'!$F$2:$F$501,"核心证据")+COUNTIFS('6_主题证据映射'!$B$2:$B$501,A106,'6_主题证据映射'!$F$2:$F$501,"支持证据"))</f>
        <v/>
      </c>
      <c r="S106" s="27" t="str">
        <f>IF(A106="","",COUNTIFS('6_主题证据映射'!$B$2:$B$501,A106,'6_主题证据映射'!$F$2:$F$501,"反例证据"))</f>
        <v/>
      </c>
      <c r="T106" s="27" t="str">
        <f t="shared" si="28"/>
        <v/>
      </c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7" t="str">
        <f>IF(A107="","",COUNTIFS('6_主题证据映射'!$B$2:$B$501,A107,'6_主题证据映射'!$F$2:$F$501,"核心证据")+COUNTIFS('6_主题证据映射'!$B$2:$B$501,A107,'6_主题证据映射'!$F$2:$F$501,"支持证据"))</f>
        <v/>
      </c>
      <c r="S107" s="27" t="str">
        <f>IF(A107="","",COUNTIFS('6_主题证据映射'!$B$2:$B$501,A107,'6_主题证据映射'!$F$2:$F$501,"反例证据"))</f>
        <v/>
      </c>
      <c r="T107" s="27" t="str">
        <f t="shared" si="28"/>
        <v/>
      </c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7" t="str">
        <f>IF(A108="","",COUNTIFS('6_主题证据映射'!$B$2:$B$501,A108,'6_主题证据映射'!$F$2:$F$501,"核心证据")+COUNTIFS('6_主题证据映射'!$B$2:$B$501,A108,'6_主题证据映射'!$F$2:$F$501,"支持证据"))</f>
        <v/>
      </c>
      <c r="S108" s="27" t="str">
        <f>IF(A108="","",COUNTIFS('6_主题证据映射'!$B$2:$B$501,A108,'6_主题证据映射'!$F$2:$F$501,"反例证据"))</f>
        <v/>
      </c>
      <c r="T108" s="27" t="str">
        <f t="shared" si="28"/>
        <v/>
      </c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7" t="str">
        <f>IF(A109="","",COUNTIFS('6_主题证据映射'!$B$2:$B$501,A109,'6_主题证据映射'!$F$2:$F$501,"核心证据")+COUNTIFS('6_主题证据映射'!$B$2:$B$501,A109,'6_主题证据映射'!$F$2:$F$501,"支持证据"))</f>
        <v/>
      </c>
      <c r="S109" s="27" t="str">
        <f>IF(A109="","",COUNTIFS('6_主题证据映射'!$B$2:$B$501,A109,'6_主题证据映射'!$F$2:$F$501,"反例证据"))</f>
        <v/>
      </c>
      <c r="T109" s="27" t="str">
        <f t="shared" si="28"/>
        <v/>
      </c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7" t="str">
        <f>IF(A110="","",COUNTIFS('6_主题证据映射'!$B$2:$B$501,A110,'6_主题证据映射'!$F$2:$F$501,"核心证据")+COUNTIFS('6_主题证据映射'!$B$2:$B$501,A110,'6_主题证据映射'!$F$2:$F$501,"支持证据"))</f>
        <v/>
      </c>
      <c r="S110" s="27" t="str">
        <f>IF(A110="","",COUNTIFS('6_主题证据映射'!$B$2:$B$501,A110,'6_主题证据映射'!$F$2:$F$501,"反例证据"))</f>
        <v/>
      </c>
      <c r="T110" s="27" t="str">
        <f t="shared" si="28"/>
        <v/>
      </c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7" t="str">
        <f>IF(A111="","",COUNTIFS('6_主题证据映射'!$B$2:$B$501,A111,'6_主题证据映射'!$F$2:$F$501,"核心证据")+COUNTIFS('6_主题证据映射'!$B$2:$B$501,A111,'6_主题证据映射'!$F$2:$F$501,"支持证据"))</f>
        <v/>
      </c>
      <c r="S111" s="27" t="str">
        <f>IF(A111="","",COUNTIFS('6_主题证据映射'!$B$2:$B$501,A111,'6_主题证据映射'!$F$2:$F$501,"反例证据"))</f>
        <v/>
      </c>
      <c r="T111" s="27" t="str">
        <f t="shared" si="28"/>
        <v/>
      </c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7" t="str">
        <f>IF(A112="","",COUNTIFS('6_主题证据映射'!$B$2:$B$501,A112,'6_主题证据映射'!$F$2:$F$501,"核心证据")+COUNTIFS('6_主题证据映射'!$B$2:$B$501,A112,'6_主题证据映射'!$F$2:$F$501,"支持证据"))</f>
        <v/>
      </c>
      <c r="S112" s="27" t="str">
        <f>IF(A112="","",COUNTIFS('6_主题证据映射'!$B$2:$B$501,A112,'6_主题证据映射'!$F$2:$F$501,"反例证据"))</f>
        <v/>
      </c>
      <c r="T112" s="27" t="str">
        <f t="shared" si="28"/>
        <v/>
      </c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7" t="str">
        <f>IF(A113="","",COUNTIFS('6_主题证据映射'!$B$2:$B$501,A113,'6_主题证据映射'!$F$2:$F$501,"核心证据")+COUNTIFS('6_主题证据映射'!$B$2:$B$501,A113,'6_主题证据映射'!$F$2:$F$501,"支持证据"))</f>
        <v/>
      </c>
      <c r="S113" s="27" t="str">
        <f>IF(A113="","",COUNTIFS('6_主题证据映射'!$B$2:$B$501,A113,'6_主题证据映射'!$F$2:$F$501,"反例证据"))</f>
        <v/>
      </c>
      <c r="T113" s="27" t="str">
        <f t="shared" si="28"/>
        <v/>
      </c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7" t="str">
        <f>IF(A114="","",COUNTIFS('6_主题证据映射'!$B$2:$B$501,A114,'6_主题证据映射'!$F$2:$F$501,"核心证据")+COUNTIFS('6_主题证据映射'!$B$2:$B$501,A114,'6_主题证据映射'!$F$2:$F$501,"支持证据"))</f>
        <v/>
      </c>
      <c r="S114" s="27" t="str">
        <f>IF(A114="","",COUNTIFS('6_主题证据映射'!$B$2:$B$501,A114,'6_主题证据映射'!$F$2:$F$501,"反例证据"))</f>
        <v/>
      </c>
      <c r="T114" s="27" t="str">
        <f t="shared" si="28"/>
        <v/>
      </c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7" t="str">
        <f>IF(A115="","",COUNTIFS('6_主题证据映射'!$B$2:$B$501,A115,'6_主题证据映射'!$F$2:$F$501,"核心证据")+COUNTIFS('6_主题证据映射'!$B$2:$B$501,A115,'6_主题证据映射'!$F$2:$F$501,"支持证据"))</f>
        <v/>
      </c>
      <c r="S115" s="27" t="str">
        <f>IF(A115="","",COUNTIFS('6_主题证据映射'!$B$2:$B$501,A115,'6_主题证据映射'!$F$2:$F$501,"反例证据"))</f>
        <v/>
      </c>
      <c r="T115" s="27" t="str">
        <f t="shared" si="28"/>
        <v/>
      </c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7" t="str">
        <f>IF(A116="","",COUNTIFS('6_主题证据映射'!$B$2:$B$501,A116,'6_主题证据映射'!$F$2:$F$501,"核心证据")+COUNTIFS('6_主题证据映射'!$B$2:$B$501,A116,'6_主题证据映射'!$F$2:$F$501,"支持证据"))</f>
        <v/>
      </c>
      <c r="S116" s="27" t="str">
        <f>IF(A116="","",COUNTIFS('6_主题证据映射'!$B$2:$B$501,A116,'6_主题证据映射'!$F$2:$F$501,"反例证据"))</f>
        <v/>
      </c>
      <c r="T116" s="27" t="str">
        <f t="shared" si="28"/>
        <v/>
      </c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7" t="str">
        <f>IF(A117="","",COUNTIFS('6_主题证据映射'!$B$2:$B$501,A117,'6_主题证据映射'!$F$2:$F$501,"核心证据")+COUNTIFS('6_主题证据映射'!$B$2:$B$501,A117,'6_主题证据映射'!$F$2:$F$501,"支持证据"))</f>
        <v/>
      </c>
      <c r="S117" s="27" t="str">
        <f>IF(A117="","",COUNTIFS('6_主题证据映射'!$B$2:$B$501,A117,'6_主题证据映射'!$F$2:$F$501,"反例证据"))</f>
        <v/>
      </c>
      <c r="T117" s="27" t="str">
        <f t="shared" si="28"/>
        <v/>
      </c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7" t="str">
        <f>IF(A118="","",COUNTIFS('6_主题证据映射'!$B$2:$B$501,A118,'6_主题证据映射'!$F$2:$F$501,"核心证据")+COUNTIFS('6_主题证据映射'!$B$2:$B$501,A118,'6_主题证据映射'!$F$2:$F$501,"支持证据"))</f>
        <v/>
      </c>
      <c r="S118" s="27" t="str">
        <f>IF(A118="","",COUNTIFS('6_主题证据映射'!$B$2:$B$501,A118,'6_主题证据映射'!$F$2:$F$501,"反例证据"))</f>
        <v/>
      </c>
      <c r="T118" s="27" t="str">
        <f t="shared" si="28"/>
        <v/>
      </c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7" t="str">
        <f>IF(A119="","",COUNTIFS('6_主题证据映射'!$B$2:$B$501,A119,'6_主题证据映射'!$F$2:$F$501,"核心证据")+COUNTIFS('6_主题证据映射'!$B$2:$B$501,A119,'6_主题证据映射'!$F$2:$F$501,"支持证据"))</f>
        <v/>
      </c>
      <c r="S119" s="27" t="str">
        <f>IF(A119="","",COUNTIFS('6_主题证据映射'!$B$2:$B$501,A119,'6_主题证据映射'!$F$2:$F$501,"反例证据"))</f>
        <v/>
      </c>
      <c r="T119" s="27" t="str">
        <f t="shared" si="28"/>
        <v/>
      </c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7" t="str">
        <f>IF(A120="","",COUNTIFS('6_主题证据映射'!$B$2:$B$501,A120,'6_主题证据映射'!$F$2:$F$501,"核心证据")+COUNTIFS('6_主题证据映射'!$B$2:$B$501,A120,'6_主题证据映射'!$F$2:$F$501,"支持证据"))</f>
        <v/>
      </c>
      <c r="S120" s="27" t="str">
        <f>IF(A120="","",COUNTIFS('6_主题证据映射'!$B$2:$B$501,A120,'6_主题证据映射'!$F$2:$F$501,"反例证据"))</f>
        <v/>
      </c>
      <c r="T120" s="27" t="str">
        <f t="shared" si="28"/>
        <v/>
      </c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7" t="str">
        <f>IF(A121="","",COUNTIFS('6_主题证据映射'!$B$2:$B$501,A121,'6_主题证据映射'!$F$2:$F$501,"核心证据")+COUNTIFS('6_主题证据映射'!$B$2:$B$501,A121,'6_主题证据映射'!$F$2:$F$501,"支持证据"))</f>
        <v/>
      </c>
      <c r="S121" s="27" t="str">
        <f>IF(A121="","",COUNTIFS('6_主题证据映射'!$B$2:$B$501,A121,'6_主题证据映射'!$F$2:$F$501,"反例证据"))</f>
        <v/>
      </c>
      <c r="T121" s="27" t="str">
        <f t="shared" si="28"/>
        <v/>
      </c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7" t="str">
        <f>IF(A122="","",COUNTIFS('6_主题证据映射'!$B$2:$B$501,A122,'6_主题证据映射'!$F$2:$F$501,"核心证据")+COUNTIFS('6_主题证据映射'!$B$2:$B$501,A122,'6_主题证据映射'!$F$2:$F$501,"支持证据"))</f>
        <v/>
      </c>
      <c r="S122" s="27" t="str">
        <f>IF(A122="","",COUNTIFS('6_主题证据映射'!$B$2:$B$501,A122,'6_主题证据映射'!$F$2:$F$501,"反例证据"))</f>
        <v/>
      </c>
      <c r="T122" s="27" t="str">
        <f t="shared" si="28"/>
        <v/>
      </c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7" t="str">
        <f>IF(A123="","",COUNTIFS('6_主题证据映射'!$B$2:$B$501,A123,'6_主题证据映射'!$F$2:$F$501,"核心证据")+COUNTIFS('6_主题证据映射'!$B$2:$B$501,A123,'6_主题证据映射'!$F$2:$F$501,"支持证据"))</f>
        <v/>
      </c>
      <c r="S123" s="27" t="str">
        <f>IF(A123="","",COUNTIFS('6_主题证据映射'!$B$2:$B$501,A123,'6_主题证据映射'!$F$2:$F$501,"反例证据"))</f>
        <v/>
      </c>
      <c r="T123" s="27" t="str">
        <f t="shared" si="28"/>
        <v/>
      </c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7" t="str">
        <f>IF(A124="","",COUNTIFS('6_主题证据映射'!$B$2:$B$501,A124,'6_主题证据映射'!$F$2:$F$501,"核心证据")+COUNTIFS('6_主题证据映射'!$B$2:$B$501,A124,'6_主题证据映射'!$F$2:$F$501,"支持证据"))</f>
        <v/>
      </c>
      <c r="S124" s="27" t="str">
        <f>IF(A124="","",COUNTIFS('6_主题证据映射'!$B$2:$B$501,A124,'6_主题证据映射'!$F$2:$F$501,"反例证据"))</f>
        <v/>
      </c>
      <c r="T124" s="27" t="str">
        <f t="shared" si="28"/>
        <v/>
      </c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7" t="str">
        <f>IF(A125="","",COUNTIFS('6_主题证据映射'!$B$2:$B$501,A125,'6_主题证据映射'!$F$2:$F$501,"核心证据")+COUNTIFS('6_主题证据映射'!$B$2:$B$501,A125,'6_主题证据映射'!$F$2:$F$501,"支持证据"))</f>
        <v/>
      </c>
      <c r="S125" s="27" t="str">
        <f>IF(A125="","",COUNTIFS('6_主题证据映射'!$B$2:$B$501,A125,'6_主题证据映射'!$F$2:$F$501,"反例证据"))</f>
        <v/>
      </c>
      <c r="T125" s="27" t="str">
        <f t="shared" si="28"/>
        <v/>
      </c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7" t="str">
        <f>IF(A126="","",COUNTIFS('6_主题证据映射'!$B$2:$B$501,A126,'6_主题证据映射'!$F$2:$F$501,"核心证据")+COUNTIFS('6_主题证据映射'!$B$2:$B$501,A126,'6_主题证据映射'!$F$2:$F$501,"支持证据"))</f>
        <v/>
      </c>
      <c r="S126" s="27" t="str">
        <f>IF(A126="","",COUNTIFS('6_主题证据映射'!$B$2:$B$501,A126,'6_主题证据映射'!$F$2:$F$501,"反例证据"))</f>
        <v/>
      </c>
      <c r="T126" s="27" t="str">
        <f t="shared" si="28"/>
        <v/>
      </c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7" t="str">
        <f>IF(A127="","",COUNTIFS('6_主题证据映射'!$B$2:$B$501,A127,'6_主题证据映射'!$F$2:$F$501,"核心证据")+COUNTIFS('6_主题证据映射'!$B$2:$B$501,A127,'6_主题证据映射'!$F$2:$F$501,"支持证据"))</f>
        <v/>
      </c>
      <c r="S127" s="27" t="str">
        <f>IF(A127="","",COUNTIFS('6_主题证据映射'!$B$2:$B$501,A127,'6_主题证据映射'!$F$2:$F$501,"反例证据"))</f>
        <v/>
      </c>
      <c r="T127" s="27" t="str">
        <f t="shared" si="28"/>
        <v/>
      </c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7" t="str">
        <f>IF(A128="","",COUNTIFS('6_主题证据映射'!$B$2:$B$501,A128,'6_主题证据映射'!$F$2:$F$501,"核心证据")+COUNTIFS('6_主题证据映射'!$B$2:$B$501,A128,'6_主题证据映射'!$F$2:$F$501,"支持证据"))</f>
        <v/>
      </c>
      <c r="S128" s="27" t="str">
        <f>IF(A128="","",COUNTIFS('6_主题证据映射'!$B$2:$B$501,A128,'6_主题证据映射'!$F$2:$F$501,"反例证据"))</f>
        <v/>
      </c>
      <c r="T128" s="27" t="str">
        <f t="shared" si="28"/>
        <v/>
      </c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7" t="str">
        <f>IF(A129="","",COUNTIFS('6_主题证据映射'!$B$2:$B$501,A129,'6_主题证据映射'!$F$2:$F$501,"核心证据")+COUNTIFS('6_主题证据映射'!$B$2:$B$501,A129,'6_主题证据映射'!$F$2:$F$501,"支持证据"))</f>
        <v/>
      </c>
      <c r="S129" s="27" t="str">
        <f>IF(A129="","",COUNTIFS('6_主题证据映射'!$B$2:$B$501,A129,'6_主题证据映射'!$F$2:$F$501,"反例证据"))</f>
        <v/>
      </c>
      <c r="T129" s="27" t="str">
        <f t="shared" si="28"/>
        <v/>
      </c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7" t="str">
        <f>IF(A130="","",COUNTIFS('6_主题证据映射'!$B$2:$B$501,A130,'6_主题证据映射'!$F$2:$F$501,"核心证据")+COUNTIFS('6_主题证据映射'!$B$2:$B$501,A130,'6_主题证据映射'!$F$2:$F$501,"支持证据"))</f>
        <v/>
      </c>
      <c r="S130" s="27" t="str">
        <f>IF(A130="","",COUNTIFS('6_主题证据映射'!$B$2:$B$501,A130,'6_主题证据映射'!$F$2:$F$501,"反例证据"))</f>
        <v/>
      </c>
      <c r="T130" s="27" t="str">
        <f t="shared" si="28"/>
        <v/>
      </c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7" t="str">
        <f>IF(A131="","",COUNTIFS('6_主题证据映射'!$B$2:$B$501,A131,'6_主题证据映射'!$F$2:$F$501,"核心证据")+COUNTIFS('6_主题证据映射'!$B$2:$B$501,A131,'6_主题证据映射'!$F$2:$F$501,"支持证据"))</f>
        <v/>
      </c>
      <c r="S131" s="27" t="str">
        <f>IF(A131="","",COUNTIFS('6_主题证据映射'!$B$2:$B$501,A131,'6_主题证据映射'!$F$2:$F$501,"反例证据"))</f>
        <v/>
      </c>
      <c r="T131" s="27" t="str">
        <f t="shared" si="28"/>
        <v/>
      </c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7" t="str">
        <f>IF(A132="","",COUNTIFS('6_主题证据映射'!$B$2:$B$501,A132,'6_主题证据映射'!$F$2:$F$501,"核心证据")+COUNTIFS('6_主题证据映射'!$B$2:$B$501,A132,'6_主题证据映射'!$F$2:$F$501,"支持证据"))</f>
        <v/>
      </c>
      <c r="S132" s="27" t="str">
        <f>IF(A132="","",COUNTIFS('6_主题证据映射'!$B$2:$B$501,A132,'6_主题证据映射'!$F$2:$F$501,"反例证据"))</f>
        <v/>
      </c>
      <c r="T132" s="27" t="str">
        <f t="shared" si="28"/>
        <v/>
      </c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7" t="str">
        <f>IF(A133="","",COUNTIFS('6_主题证据映射'!$B$2:$B$501,A133,'6_主题证据映射'!$F$2:$F$501,"核心证据")+COUNTIFS('6_主题证据映射'!$B$2:$B$501,A133,'6_主题证据映射'!$F$2:$F$501,"支持证据"))</f>
        <v/>
      </c>
      <c r="S133" s="27" t="str">
        <f>IF(A133="","",COUNTIFS('6_主题证据映射'!$B$2:$B$501,A133,'6_主题证据映射'!$F$2:$F$501,"反例证据"))</f>
        <v/>
      </c>
      <c r="T133" s="27" t="str">
        <f t="shared" si="28"/>
        <v/>
      </c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7" t="str">
        <f>IF(A134="","",COUNTIFS('6_主题证据映射'!$B$2:$B$501,A134,'6_主题证据映射'!$F$2:$F$501,"核心证据")+COUNTIFS('6_主题证据映射'!$B$2:$B$501,A134,'6_主题证据映射'!$F$2:$F$501,"支持证据"))</f>
        <v/>
      </c>
      <c r="S134" s="27" t="str">
        <f>IF(A134="","",COUNTIFS('6_主题证据映射'!$B$2:$B$501,A134,'6_主题证据映射'!$F$2:$F$501,"反例证据"))</f>
        <v/>
      </c>
      <c r="T134" s="27" t="str">
        <f t="shared" si="28"/>
        <v/>
      </c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7" t="str">
        <f>IF(A135="","",COUNTIFS('6_主题证据映射'!$B$2:$B$501,A135,'6_主题证据映射'!$F$2:$F$501,"核心证据")+COUNTIFS('6_主题证据映射'!$B$2:$B$501,A135,'6_主题证据映射'!$F$2:$F$501,"支持证据"))</f>
        <v/>
      </c>
      <c r="S135" s="27" t="str">
        <f>IF(A135="","",COUNTIFS('6_主题证据映射'!$B$2:$B$501,A135,'6_主题证据映射'!$F$2:$F$501,"反例证据"))</f>
        <v/>
      </c>
      <c r="T135" s="27" t="str">
        <f t="shared" si="28"/>
        <v/>
      </c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7" t="str">
        <f>IF(A136="","",COUNTIFS('6_主题证据映射'!$B$2:$B$501,A136,'6_主题证据映射'!$F$2:$F$501,"核心证据")+COUNTIFS('6_主题证据映射'!$B$2:$B$501,A136,'6_主题证据映射'!$F$2:$F$501,"支持证据"))</f>
        <v/>
      </c>
      <c r="S136" s="27" t="str">
        <f>IF(A136="","",COUNTIFS('6_主题证据映射'!$B$2:$B$501,A136,'6_主题证据映射'!$F$2:$F$501,"反例证据"))</f>
        <v/>
      </c>
      <c r="T136" s="27" t="str">
        <f t="shared" si="28"/>
        <v/>
      </c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7" t="str">
        <f>IF(A137="","",COUNTIFS('6_主题证据映射'!$B$2:$B$501,A137,'6_主题证据映射'!$F$2:$F$501,"核心证据")+COUNTIFS('6_主题证据映射'!$B$2:$B$501,A137,'6_主题证据映射'!$F$2:$F$501,"支持证据"))</f>
        <v/>
      </c>
      <c r="S137" s="27" t="str">
        <f>IF(A137="","",COUNTIFS('6_主题证据映射'!$B$2:$B$501,A137,'6_主题证据映射'!$F$2:$F$501,"反例证据"))</f>
        <v/>
      </c>
      <c r="T137" s="27" t="str">
        <f t="shared" si="28"/>
        <v/>
      </c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7" t="str">
        <f>IF(A138="","",COUNTIFS('6_主题证据映射'!$B$2:$B$501,A138,'6_主题证据映射'!$F$2:$F$501,"核心证据")+COUNTIFS('6_主题证据映射'!$B$2:$B$501,A138,'6_主题证据映射'!$F$2:$F$501,"支持证据"))</f>
        <v/>
      </c>
      <c r="S138" s="27" t="str">
        <f>IF(A138="","",COUNTIFS('6_主题证据映射'!$B$2:$B$501,A138,'6_主题证据映射'!$F$2:$F$501,"反例证据"))</f>
        <v/>
      </c>
      <c r="T138" s="27" t="str">
        <f t="shared" si="28"/>
        <v/>
      </c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7" t="str">
        <f>IF(A139="","",COUNTIFS('6_主题证据映射'!$B$2:$B$501,A139,'6_主题证据映射'!$F$2:$F$501,"核心证据")+COUNTIFS('6_主题证据映射'!$B$2:$B$501,A139,'6_主题证据映射'!$F$2:$F$501,"支持证据"))</f>
        <v/>
      </c>
      <c r="S139" s="27" t="str">
        <f>IF(A139="","",COUNTIFS('6_主题证据映射'!$B$2:$B$501,A139,'6_主题证据映射'!$F$2:$F$501,"反例证据"))</f>
        <v/>
      </c>
      <c r="T139" s="27" t="str">
        <f t="shared" si="28"/>
        <v/>
      </c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7" t="str">
        <f>IF(A140="","",COUNTIFS('6_主题证据映射'!$B$2:$B$501,A140,'6_主题证据映射'!$F$2:$F$501,"核心证据")+COUNTIFS('6_主题证据映射'!$B$2:$B$501,A140,'6_主题证据映射'!$F$2:$F$501,"支持证据"))</f>
        <v/>
      </c>
      <c r="S140" s="27" t="str">
        <f>IF(A140="","",COUNTIFS('6_主题证据映射'!$B$2:$B$501,A140,'6_主题证据映射'!$F$2:$F$501,"反例证据"))</f>
        <v/>
      </c>
      <c r="T140" s="27" t="str">
        <f t="shared" si="28"/>
        <v/>
      </c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7" t="str">
        <f>IF(A141="","",COUNTIFS('6_主题证据映射'!$B$2:$B$501,A141,'6_主题证据映射'!$F$2:$F$501,"核心证据")+COUNTIFS('6_主题证据映射'!$B$2:$B$501,A141,'6_主题证据映射'!$F$2:$F$501,"支持证据"))</f>
        <v/>
      </c>
      <c r="S141" s="27" t="str">
        <f>IF(A141="","",COUNTIFS('6_主题证据映射'!$B$2:$B$501,A141,'6_主题证据映射'!$F$2:$F$501,"反例证据"))</f>
        <v/>
      </c>
      <c r="T141" s="27" t="str">
        <f t="shared" si="28"/>
        <v/>
      </c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7" t="str">
        <f>IF(A142="","",COUNTIFS('6_主题证据映射'!$B$2:$B$501,A142,'6_主题证据映射'!$F$2:$F$501,"核心证据")+COUNTIFS('6_主题证据映射'!$B$2:$B$501,A142,'6_主题证据映射'!$F$2:$F$501,"支持证据"))</f>
        <v/>
      </c>
      <c r="S142" s="27" t="str">
        <f>IF(A142="","",COUNTIFS('6_主题证据映射'!$B$2:$B$501,A142,'6_主题证据映射'!$F$2:$F$501,"反例证据"))</f>
        <v/>
      </c>
      <c r="T142" s="27" t="str">
        <f t="shared" si="28"/>
        <v/>
      </c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7" t="str">
        <f>IF(A143="","",COUNTIFS('6_主题证据映射'!$B$2:$B$501,A143,'6_主题证据映射'!$F$2:$F$501,"核心证据")+COUNTIFS('6_主题证据映射'!$B$2:$B$501,A143,'6_主题证据映射'!$F$2:$F$501,"支持证据"))</f>
        <v/>
      </c>
      <c r="S143" s="27" t="str">
        <f>IF(A143="","",COUNTIFS('6_主题证据映射'!$B$2:$B$501,A143,'6_主题证据映射'!$F$2:$F$501,"反例证据"))</f>
        <v/>
      </c>
      <c r="T143" s="27" t="str">
        <f t="shared" si="28"/>
        <v/>
      </c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7" t="str">
        <f>IF(A144="","",COUNTIFS('6_主题证据映射'!$B$2:$B$501,A144,'6_主题证据映射'!$F$2:$F$501,"核心证据")+COUNTIFS('6_主题证据映射'!$B$2:$B$501,A144,'6_主题证据映射'!$F$2:$F$501,"支持证据"))</f>
        <v/>
      </c>
      <c r="S144" s="27" t="str">
        <f>IF(A144="","",COUNTIFS('6_主题证据映射'!$B$2:$B$501,A144,'6_主题证据映射'!$F$2:$F$501,"反例证据"))</f>
        <v/>
      </c>
      <c r="T144" s="27" t="str">
        <f t="shared" si="28"/>
        <v/>
      </c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7" t="str">
        <f>IF(A145="","",COUNTIFS('6_主题证据映射'!$B$2:$B$501,A145,'6_主题证据映射'!$F$2:$F$501,"核心证据")+COUNTIFS('6_主题证据映射'!$B$2:$B$501,A145,'6_主题证据映射'!$F$2:$F$501,"支持证据"))</f>
        <v/>
      </c>
      <c r="S145" s="27" t="str">
        <f>IF(A145="","",COUNTIFS('6_主题证据映射'!$B$2:$B$501,A145,'6_主题证据映射'!$F$2:$F$501,"反例证据"))</f>
        <v/>
      </c>
      <c r="T145" s="27" t="str">
        <f t="shared" si="28"/>
        <v/>
      </c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7" t="str">
        <f>IF(A146="","",COUNTIFS('6_主题证据映射'!$B$2:$B$501,A146,'6_主题证据映射'!$F$2:$F$501,"核心证据")+COUNTIFS('6_主题证据映射'!$B$2:$B$501,A146,'6_主题证据映射'!$F$2:$F$501,"支持证据"))</f>
        <v/>
      </c>
      <c r="S146" s="27" t="str">
        <f>IF(A146="","",COUNTIFS('6_主题证据映射'!$B$2:$B$501,A146,'6_主题证据映射'!$F$2:$F$501,"反例证据"))</f>
        <v/>
      </c>
      <c r="T146" s="27" t="str">
        <f t="shared" si="28"/>
        <v/>
      </c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7" t="str">
        <f>IF(A147="","",COUNTIFS('6_主题证据映射'!$B$2:$B$501,A147,'6_主题证据映射'!$F$2:$F$501,"核心证据")+COUNTIFS('6_主题证据映射'!$B$2:$B$501,A147,'6_主题证据映射'!$F$2:$F$501,"支持证据"))</f>
        <v/>
      </c>
      <c r="S147" s="27" t="str">
        <f>IF(A147="","",COUNTIFS('6_主题证据映射'!$B$2:$B$501,A147,'6_主题证据映射'!$F$2:$F$501,"反例证据"))</f>
        <v/>
      </c>
      <c r="T147" s="27" t="str">
        <f t="shared" si="28"/>
        <v/>
      </c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7" t="str">
        <f>IF(A148="","",COUNTIFS('6_主题证据映射'!$B$2:$B$501,A148,'6_主题证据映射'!$F$2:$F$501,"核心证据")+COUNTIFS('6_主题证据映射'!$B$2:$B$501,A148,'6_主题证据映射'!$F$2:$F$501,"支持证据"))</f>
        <v/>
      </c>
      <c r="S148" s="27" t="str">
        <f>IF(A148="","",COUNTIFS('6_主题证据映射'!$B$2:$B$501,A148,'6_主题证据映射'!$F$2:$F$501,"反例证据"))</f>
        <v/>
      </c>
      <c r="T148" s="27" t="str">
        <f t="shared" si="28"/>
        <v/>
      </c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7" t="str">
        <f>IF(A149="","",COUNTIFS('6_主题证据映射'!$B$2:$B$501,A149,'6_主题证据映射'!$F$2:$F$501,"核心证据")+COUNTIFS('6_主题证据映射'!$B$2:$B$501,A149,'6_主题证据映射'!$F$2:$F$501,"支持证据"))</f>
        <v/>
      </c>
      <c r="S149" s="27" t="str">
        <f>IF(A149="","",COUNTIFS('6_主题证据映射'!$B$2:$B$501,A149,'6_主题证据映射'!$F$2:$F$501,"反例证据"))</f>
        <v/>
      </c>
      <c r="T149" s="27" t="str">
        <f t="shared" si="28"/>
        <v/>
      </c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7" t="str">
        <f>IF(A150="","",COUNTIFS('6_主题证据映射'!$B$2:$B$501,A150,'6_主题证据映射'!$F$2:$F$501,"核心证据")+COUNTIFS('6_主题证据映射'!$B$2:$B$501,A150,'6_主题证据映射'!$F$2:$F$501,"支持证据"))</f>
        <v/>
      </c>
      <c r="S150" s="27" t="str">
        <f>IF(A150="","",COUNTIFS('6_主题证据映射'!$B$2:$B$501,A150,'6_主题证据映射'!$F$2:$F$501,"反例证据"))</f>
        <v/>
      </c>
      <c r="T150" s="27" t="str">
        <f t="shared" si="28"/>
        <v/>
      </c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7" t="str">
        <f>IF(A151="","",COUNTIFS('6_主题证据映射'!$B$2:$B$501,A151,'6_主题证据映射'!$F$2:$F$501,"核心证据")+COUNTIFS('6_主题证据映射'!$B$2:$B$501,A151,'6_主题证据映射'!$F$2:$F$501,"支持证据"))</f>
        <v/>
      </c>
      <c r="S151" s="27" t="str">
        <f>IF(A151="","",COUNTIFS('6_主题证据映射'!$B$2:$B$501,A151,'6_主题证据映射'!$F$2:$F$501,"反例证据"))</f>
        <v/>
      </c>
      <c r="T151" s="27" t="str">
        <f t="shared" si="28"/>
        <v/>
      </c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7" t="str">
        <f>IF(A152="","",COUNTIFS('6_主题证据映射'!$B$2:$B$501,A152,'6_主题证据映射'!$F$2:$F$501,"核心证据")+COUNTIFS('6_主题证据映射'!$B$2:$B$501,A152,'6_主题证据映射'!$F$2:$F$501,"支持证据"))</f>
        <v/>
      </c>
      <c r="S152" s="27" t="str">
        <f>IF(A152="","",COUNTIFS('6_主题证据映射'!$B$2:$B$501,A152,'6_主题证据映射'!$F$2:$F$501,"反例证据"))</f>
        <v/>
      </c>
      <c r="T152" s="27" t="str">
        <f t="shared" si="28"/>
        <v/>
      </c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7" t="str">
        <f>IF(A153="","",COUNTIFS('6_主题证据映射'!$B$2:$B$501,A153,'6_主题证据映射'!$F$2:$F$501,"核心证据")+COUNTIFS('6_主题证据映射'!$B$2:$B$501,A153,'6_主题证据映射'!$F$2:$F$501,"支持证据"))</f>
        <v/>
      </c>
      <c r="S153" s="27" t="str">
        <f>IF(A153="","",COUNTIFS('6_主题证据映射'!$B$2:$B$501,A153,'6_主题证据映射'!$F$2:$F$501,"反例证据"))</f>
        <v/>
      </c>
      <c r="T153" s="27" t="str">
        <f t="shared" si="28"/>
        <v/>
      </c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7" t="str">
        <f>IF(A154="","",COUNTIFS('6_主题证据映射'!$B$2:$B$501,A154,'6_主题证据映射'!$F$2:$F$501,"核心证据")+COUNTIFS('6_主题证据映射'!$B$2:$B$501,A154,'6_主题证据映射'!$F$2:$F$501,"支持证据"))</f>
        <v/>
      </c>
      <c r="S154" s="27" t="str">
        <f>IF(A154="","",COUNTIFS('6_主题证据映射'!$B$2:$B$501,A154,'6_主题证据映射'!$F$2:$F$501,"反例证据"))</f>
        <v/>
      </c>
      <c r="T154" s="27" t="str">
        <f t="shared" si="28"/>
        <v/>
      </c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7" t="str">
        <f>IF(A155="","",COUNTIFS('6_主题证据映射'!$B$2:$B$501,A155,'6_主题证据映射'!$F$2:$F$501,"核心证据")+COUNTIFS('6_主题证据映射'!$B$2:$B$501,A155,'6_主题证据映射'!$F$2:$F$501,"支持证据"))</f>
        <v/>
      </c>
      <c r="S155" s="27" t="str">
        <f>IF(A155="","",COUNTIFS('6_主题证据映射'!$B$2:$B$501,A155,'6_主题证据映射'!$F$2:$F$501,"反例证据"))</f>
        <v/>
      </c>
      <c r="T155" s="27" t="str">
        <f t="shared" si="28"/>
        <v/>
      </c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7" t="str">
        <f>IF(A156="","",COUNTIFS('6_主题证据映射'!$B$2:$B$501,A156,'6_主题证据映射'!$F$2:$F$501,"核心证据")+COUNTIFS('6_主题证据映射'!$B$2:$B$501,A156,'6_主题证据映射'!$F$2:$F$501,"支持证据"))</f>
        <v/>
      </c>
      <c r="S156" s="27" t="str">
        <f>IF(A156="","",COUNTIFS('6_主题证据映射'!$B$2:$B$501,A156,'6_主题证据映射'!$F$2:$F$501,"反例证据"))</f>
        <v/>
      </c>
      <c r="T156" s="27" t="str">
        <f t="shared" si="28"/>
        <v/>
      </c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7" t="str">
        <f>IF(A157="","",COUNTIFS('6_主题证据映射'!$B$2:$B$501,A157,'6_主题证据映射'!$F$2:$F$501,"核心证据")+COUNTIFS('6_主题证据映射'!$B$2:$B$501,A157,'6_主题证据映射'!$F$2:$F$501,"支持证据"))</f>
        <v/>
      </c>
      <c r="S157" s="27" t="str">
        <f>IF(A157="","",COUNTIFS('6_主题证据映射'!$B$2:$B$501,A157,'6_主题证据映射'!$F$2:$F$501,"反例证据"))</f>
        <v/>
      </c>
      <c r="T157" s="27" t="str">
        <f t="shared" si="28"/>
        <v/>
      </c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7" t="str">
        <f>IF(A158="","",COUNTIFS('6_主题证据映射'!$B$2:$B$501,A158,'6_主题证据映射'!$F$2:$F$501,"核心证据")+COUNTIFS('6_主题证据映射'!$B$2:$B$501,A158,'6_主题证据映射'!$F$2:$F$501,"支持证据"))</f>
        <v/>
      </c>
      <c r="S158" s="27" t="str">
        <f>IF(A158="","",COUNTIFS('6_主题证据映射'!$B$2:$B$501,A158,'6_主题证据映射'!$F$2:$F$501,"反例证据"))</f>
        <v/>
      </c>
      <c r="T158" s="27" t="str">
        <f t="shared" si="28"/>
        <v/>
      </c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7" t="str">
        <f>IF(A159="","",COUNTIFS('6_主题证据映射'!$B$2:$B$501,A159,'6_主题证据映射'!$F$2:$F$501,"核心证据")+COUNTIFS('6_主题证据映射'!$B$2:$B$501,A159,'6_主题证据映射'!$F$2:$F$501,"支持证据"))</f>
        <v/>
      </c>
      <c r="S159" s="27" t="str">
        <f>IF(A159="","",COUNTIFS('6_主题证据映射'!$B$2:$B$501,A159,'6_主题证据映射'!$F$2:$F$501,"反例证据"))</f>
        <v/>
      </c>
      <c r="T159" s="27" t="str">
        <f t="shared" si="28"/>
        <v/>
      </c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7" t="str">
        <f>IF(A160="","",COUNTIFS('6_主题证据映射'!$B$2:$B$501,A160,'6_主题证据映射'!$F$2:$F$501,"核心证据")+COUNTIFS('6_主题证据映射'!$B$2:$B$501,A160,'6_主题证据映射'!$F$2:$F$501,"支持证据"))</f>
        <v/>
      </c>
      <c r="S160" s="27" t="str">
        <f>IF(A160="","",COUNTIFS('6_主题证据映射'!$B$2:$B$501,A160,'6_主题证据映射'!$F$2:$F$501,"反例证据"))</f>
        <v/>
      </c>
      <c r="T160" s="27" t="str">
        <f t="shared" si="28"/>
        <v/>
      </c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7" t="str">
        <f>IF(A161="","",COUNTIFS('6_主题证据映射'!$B$2:$B$501,A161,'6_主题证据映射'!$F$2:$F$501,"核心证据")+COUNTIFS('6_主题证据映射'!$B$2:$B$501,A161,'6_主题证据映射'!$F$2:$F$501,"支持证据"))</f>
        <v/>
      </c>
      <c r="S161" s="27" t="str">
        <f>IF(A161="","",COUNTIFS('6_主题证据映射'!$B$2:$B$501,A161,'6_主题证据映射'!$F$2:$F$501,"反例证据"))</f>
        <v/>
      </c>
      <c r="T161" s="27" t="str">
        <f t="shared" si="28"/>
        <v/>
      </c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7" t="str">
        <f>IF(A162="","",COUNTIFS('6_主题证据映射'!$B$2:$B$501,A162,'6_主题证据映射'!$F$2:$F$501,"核心证据")+COUNTIFS('6_主题证据映射'!$B$2:$B$501,A162,'6_主题证据映射'!$F$2:$F$501,"支持证据"))</f>
        <v/>
      </c>
      <c r="S162" s="27" t="str">
        <f>IF(A162="","",COUNTIFS('6_主题证据映射'!$B$2:$B$501,A162,'6_主题证据映射'!$F$2:$F$501,"反例证据"))</f>
        <v/>
      </c>
      <c r="T162" s="27" t="str">
        <f t="shared" si="28"/>
        <v/>
      </c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7" t="str">
        <f>IF(A163="","",COUNTIFS('6_主题证据映射'!$B$2:$B$501,A163,'6_主题证据映射'!$F$2:$F$501,"核心证据")+COUNTIFS('6_主题证据映射'!$B$2:$B$501,A163,'6_主题证据映射'!$F$2:$F$501,"支持证据"))</f>
        <v/>
      </c>
      <c r="S163" s="27" t="str">
        <f>IF(A163="","",COUNTIFS('6_主题证据映射'!$B$2:$B$501,A163,'6_主题证据映射'!$F$2:$F$501,"反例证据"))</f>
        <v/>
      </c>
      <c r="T163" s="27" t="str">
        <f t="shared" si="28"/>
        <v/>
      </c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7" t="str">
        <f>IF(A164="","",COUNTIFS('6_主题证据映射'!$B$2:$B$501,A164,'6_主题证据映射'!$F$2:$F$501,"核心证据")+COUNTIFS('6_主题证据映射'!$B$2:$B$501,A164,'6_主题证据映射'!$F$2:$F$501,"支持证据"))</f>
        <v/>
      </c>
      <c r="S164" s="27" t="str">
        <f>IF(A164="","",COUNTIFS('6_主题证据映射'!$B$2:$B$501,A164,'6_主题证据映射'!$F$2:$F$501,"反例证据"))</f>
        <v/>
      </c>
      <c r="T164" s="27" t="str">
        <f t="shared" ref="T164:T201" si="29">IF(A164="","",IF(OR(B164="",C164="",D164="",E164="",F164="",M164="",P164="",Q164=""),"需补充",IF(C164="保留",IF(OR(G164="",H164="",K164="未开始",L164&lt;&gt;"已完成",R164=0),"需复核","正常"),"正常")))</f>
        <v/>
      </c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7" t="str">
        <f>IF(A165="","",COUNTIFS('6_主题证据映射'!$B$2:$B$501,A165,'6_主题证据映射'!$F$2:$F$501,"核心证据")+COUNTIFS('6_主题证据映射'!$B$2:$B$501,A165,'6_主题证据映射'!$F$2:$F$501,"支持证据"))</f>
        <v/>
      </c>
      <c r="S165" s="27" t="str">
        <f>IF(A165="","",COUNTIFS('6_主题证据映射'!$B$2:$B$501,A165,'6_主题证据映射'!$F$2:$F$501,"反例证据"))</f>
        <v/>
      </c>
      <c r="T165" s="27" t="str">
        <f t="shared" si="29"/>
        <v/>
      </c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7" t="str">
        <f>IF(A166="","",COUNTIFS('6_主题证据映射'!$B$2:$B$501,A166,'6_主题证据映射'!$F$2:$F$501,"核心证据")+COUNTIFS('6_主题证据映射'!$B$2:$B$501,A166,'6_主题证据映射'!$F$2:$F$501,"支持证据"))</f>
        <v/>
      </c>
      <c r="S166" s="27" t="str">
        <f>IF(A166="","",COUNTIFS('6_主题证据映射'!$B$2:$B$501,A166,'6_主题证据映射'!$F$2:$F$501,"反例证据"))</f>
        <v/>
      </c>
      <c r="T166" s="27" t="str">
        <f t="shared" si="29"/>
        <v/>
      </c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7" t="str">
        <f>IF(A167="","",COUNTIFS('6_主题证据映射'!$B$2:$B$501,A167,'6_主题证据映射'!$F$2:$F$501,"核心证据")+COUNTIFS('6_主题证据映射'!$B$2:$B$501,A167,'6_主题证据映射'!$F$2:$F$501,"支持证据"))</f>
        <v/>
      </c>
      <c r="S167" s="27" t="str">
        <f>IF(A167="","",COUNTIFS('6_主题证据映射'!$B$2:$B$501,A167,'6_主题证据映射'!$F$2:$F$501,"反例证据"))</f>
        <v/>
      </c>
      <c r="T167" s="27" t="str">
        <f t="shared" si="29"/>
        <v/>
      </c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7" t="str">
        <f>IF(A168="","",COUNTIFS('6_主题证据映射'!$B$2:$B$501,A168,'6_主题证据映射'!$F$2:$F$501,"核心证据")+COUNTIFS('6_主题证据映射'!$B$2:$B$501,A168,'6_主题证据映射'!$F$2:$F$501,"支持证据"))</f>
        <v/>
      </c>
      <c r="S168" s="27" t="str">
        <f>IF(A168="","",COUNTIFS('6_主题证据映射'!$B$2:$B$501,A168,'6_主题证据映射'!$F$2:$F$501,"反例证据"))</f>
        <v/>
      </c>
      <c r="T168" s="27" t="str">
        <f t="shared" si="29"/>
        <v/>
      </c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7" t="str">
        <f>IF(A169="","",COUNTIFS('6_主题证据映射'!$B$2:$B$501,A169,'6_主题证据映射'!$F$2:$F$501,"核心证据")+COUNTIFS('6_主题证据映射'!$B$2:$B$501,A169,'6_主题证据映射'!$F$2:$F$501,"支持证据"))</f>
        <v/>
      </c>
      <c r="S169" s="27" t="str">
        <f>IF(A169="","",COUNTIFS('6_主题证据映射'!$B$2:$B$501,A169,'6_主题证据映射'!$F$2:$F$501,"反例证据"))</f>
        <v/>
      </c>
      <c r="T169" s="27" t="str">
        <f t="shared" si="29"/>
        <v/>
      </c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7" t="str">
        <f>IF(A170="","",COUNTIFS('6_主题证据映射'!$B$2:$B$501,A170,'6_主题证据映射'!$F$2:$F$501,"核心证据")+COUNTIFS('6_主题证据映射'!$B$2:$B$501,A170,'6_主题证据映射'!$F$2:$F$501,"支持证据"))</f>
        <v/>
      </c>
      <c r="S170" s="27" t="str">
        <f>IF(A170="","",COUNTIFS('6_主题证据映射'!$B$2:$B$501,A170,'6_主题证据映射'!$F$2:$F$501,"反例证据"))</f>
        <v/>
      </c>
      <c r="T170" s="27" t="str">
        <f t="shared" si="29"/>
        <v/>
      </c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7" t="str">
        <f>IF(A171="","",COUNTIFS('6_主题证据映射'!$B$2:$B$501,A171,'6_主题证据映射'!$F$2:$F$501,"核心证据")+COUNTIFS('6_主题证据映射'!$B$2:$B$501,A171,'6_主题证据映射'!$F$2:$F$501,"支持证据"))</f>
        <v/>
      </c>
      <c r="S171" s="27" t="str">
        <f>IF(A171="","",COUNTIFS('6_主题证据映射'!$B$2:$B$501,A171,'6_主题证据映射'!$F$2:$F$501,"反例证据"))</f>
        <v/>
      </c>
      <c r="T171" s="27" t="str">
        <f t="shared" si="29"/>
        <v/>
      </c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7" t="str">
        <f>IF(A172="","",COUNTIFS('6_主题证据映射'!$B$2:$B$501,A172,'6_主题证据映射'!$F$2:$F$501,"核心证据")+COUNTIFS('6_主题证据映射'!$B$2:$B$501,A172,'6_主题证据映射'!$F$2:$F$501,"支持证据"))</f>
        <v/>
      </c>
      <c r="S172" s="27" t="str">
        <f>IF(A172="","",COUNTIFS('6_主题证据映射'!$B$2:$B$501,A172,'6_主题证据映射'!$F$2:$F$501,"反例证据"))</f>
        <v/>
      </c>
      <c r="T172" s="27" t="str">
        <f t="shared" si="29"/>
        <v/>
      </c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7" t="str">
        <f>IF(A173="","",COUNTIFS('6_主题证据映射'!$B$2:$B$501,A173,'6_主题证据映射'!$F$2:$F$501,"核心证据")+COUNTIFS('6_主题证据映射'!$B$2:$B$501,A173,'6_主题证据映射'!$F$2:$F$501,"支持证据"))</f>
        <v/>
      </c>
      <c r="S173" s="27" t="str">
        <f>IF(A173="","",COUNTIFS('6_主题证据映射'!$B$2:$B$501,A173,'6_主题证据映射'!$F$2:$F$501,"反例证据"))</f>
        <v/>
      </c>
      <c r="T173" s="27" t="str">
        <f t="shared" si="29"/>
        <v/>
      </c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7" t="str">
        <f>IF(A174="","",COUNTIFS('6_主题证据映射'!$B$2:$B$501,A174,'6_主题证据映射'!$F$2:$F$501,"核心证据")+COUNTIFS('6_主题证据映射'!$B$2:$B$501,A174,'6_主题证据映射'!$F$2:$F$501,"支持证据"))</f>
        <v/>
      </c>
      <c r="S174" s="27" t="str">
        <f>IF(A174="","",COUNTIFS('6_主题证据映射'!$B$2:$B$501,A174,'6_主题证据映射'!$F$2:$F$501,"反例证据"))</f>
        <v/>
      </c>
      <c r="T174" s="27" t="str">
        <f t="shared" si="29"/>
        <v/>
      </c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7" t="str">
        <f>IF(A175="","",COUNTIFS('6_主题证据映射'!$B$2:$B$501,A175,'6_主题证据映射'!$F$2:$F$501,"核心证据")+COUNTIFS('6_主题证据映射'!$B$2:$B$501,A175,'6_主题证据映射'!$F$2:$F$501,"支持证据"))</f>
        <v/>
      </c>
      <c r="S175" s="27" t="str">
        <f>IF(A175="","",COUNTIFS('6_主题证据映射'!$B$2:$B$501,A175,'6_主题证据映射'!$F$2:$F$501,"反例证据"))</f>
        <v/>
      </c>
      <c r="T175" s="27" t="str">
        <f t="shared" si="29"/>
        <v/>
      </c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7" t="str">
        <f>IF(A176="","",COUNTIFS('6_主题证据映射'!$B$2:$B$501,A176,'6_主题证据映射'!$F$2:$F$501,"核心证据")+COUNTIFS('6_主题证据映射'!$B$2:$B$501,A176,'6_主题证据映射'!$F$2:$F$501,"支持证据"))</f>
        <v/>
      </c>
      <c r="S176" s="27" t="str">
        <f>IF(A176="","",COUNTIFS('6_主题证据映射'!$B$2:$B$501,A176,'6_主题证据映射'!$F$2:$F$501,"反例证据"))</f>
        <v/>
      </c>
      <c r="T176" s="27" t="str">
        <f t="shared" si="29"/>
        <v/>
      </c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7" t="str">
        <f>IF(A177="","",COUNTIFS('6_主题证据映射'!$B$2:$B$501,A177,'6_主题证据映射'!$F$2:$F$501,"核心证据")+COUNTIFS('6_主题证据映射'!$B$2:$B$501,A177,'6_主题证据映射'!$F$2:$F$501,"支持证据"))</f>
        <v/>
      </c>
      <c r="S177" s="27" t="str">
        <f>IF(A177="","",COUNTIFS('6_主题证据映射'!$B$2:$B$501,A177,'6_主题证据映射'!$F$2:$F$501,"反例证据"))</f>
        <v/>
      </c>
      <c r="T177" s="27" t="str">
        <f t="shared" si="29"/>
        <v/>
      </c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7" t="str">
        <f>IF(A178="","",COUNTIFS('6_主题证据映射'!$B$2:$B$501,A178,'6_主题证据映射'!$F$2:$F$501,"核心证据")+COUNTIFS('6_主题证据映射'!$B$2:$B$501,A178,'6_主题证据映射'!$F$2:$F$501,"支持证据"))</f>
        <v/>
      </c>
      <c r="S178" s="27" t="str">
        <f>IF(A178="","",COUNTIFS('6_主题证据映射'!$B$2:$B$501,A178,'6_主题证据映射'!$F$2:$F$501,"反例证据"))</f>
        <v/>
      </c>
      <c r="T178" s="27" t="str">
        <f t="shared" si="29"/>
        <v/>
      </c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7" t="str">
        <f>IF(A179="","",COUNTIFS('6_主题证据映射'!$B$2:$B$501,A179,'6_主题证据映射'!$F$2:$F$501,"核心证据")+COUNTIFS('6_主题证据映射'!$B$2:$B$501,A179,'6_主题证据映射'!$F$2:$F$501,"支持证据"))</f>
        <v/>
      </c>
      <c r="S179" s="27" t="str">
        <f>IF(A179="","",COUNTIFS('6_主题证据映射'!$B$2:$B$501,A179,'6_主题证据映射'!$F$2:$F$501,"反例证据"))</f>
        <v/>
      </c>
      <c r="T179" s="27" t="str">
        <f t="shared" si="29"/>
        <v/>
      </c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7" t="str">
        <f>IF(A180="","",COUNTIFS('6_主题证据映射'!$B$2:$B$501,A180,'6_主题证据映射'!$F$2:$F$501,"核心证据")+COUNTIFS('6_主题证据映射'!$B$2:$B$501,A180,'6_主题证据映射'!$F$2:$F$501,"支持证据"))</f>
        <v/>
      </c>
      <c r="S180" s="27" t="str">
        <f>IF(A180="","",COUNTIFS('6_主题证据映射'!$B$2:$B$501,A180,'6_主题证据映射'!$F$2:$F$501,"反例证据"))</f>
        <v/>
      </c>
      <c r="T180" s="27" t="str">
        <f t="shared" si="29"/>
        <v/>
      </c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7" t="str">
        <f>IF(A181="","",COUNTIFS('6_主题证据映射'!$B$2:$B$501,A181,'6_主题证据映射'!$F$2:$F$501,"核心证据")+COUNTIFS('6_主题证据映射'!$B$2:$B$501,A181,'6_主题证据映射'!$F$2:$F$501,"支持证据"))</f>
        <v/>
      </c>
      <c r="S181" s="27" t="str">
        <f>IF(A181="","",COUNTIFS('6_主题证据映射'!$B$2:$B$501,A181,'6_主题证据映射'!$F$2:$F$501,"反例证据"))</f>
        <v/>
      </c>
      <c r="T181" s="27" t="str">
        <f t="shared" si="29"/>
        <v/>
      </c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7" t="str">
        <f>IF(A182="","",COUNTIFS('6_主题证据映射'!$B$2:$B$501,A182,'6_主题证据映射'!$F$2:$F$501,"核心证据")+COUNTIFS('6_主题证据映射'!$B$2:$B$501,A182,'6_主题证据映射'!$F$2:$F$501,"支持证据"))</f>
        <v/>
      </c>
      <c r="S182" s="27" t="str">
        <f>IF(A182="","",COUNTIFS('6_主题证据映射'!$B$2:$B$501,A182,'6_主题证据映射'!$F$2:$F$501,"反例证据"))</f>
        <v/>
      </c>
      <c r="T182" s="27" t="str">
        <f t="shared" si="29"/>
        <v/>
      </c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7" t="str">
        <f>IF(A183="","",COUNTIFS('6_主题证据映射'!$B$2:$B$501,A183,'6_主题证据映射'!$F$2:$F$501,"核心证据")+COUNTIFS('6_主题证据映射'!$B$2:$B$501,A183,'6_主题证据映射'!$F$2:$F$501,"支持证据"))</f>
        <v/>
      </c>
      <c r="S183" s="27" t="str">
        <f>IF(A183="","",COUNTIFS('6_主题证据映射'!$B$2:$B$501,A183,'6_主题证据映射'!$F$2:$F$501,"反例证据"))</f>
        <v/>
      </c>
      <c r="T183" s="27" t="str">
        <f t="shared" si="29"/>
        <v/>
      </c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7" t="str">
        <f>IF(A184="","",COUNTIFS('6_主题证据映射'!$B$2:$B$501,A184,'6_主题证据映射'!$F$2:$F$501,"核心证据")+COUNTIFS('6_主题证据映射'!$B$2:$B$501,A184,'6_主题证据映射'!$F$2:$F$501,"支持证据"))</f>
        <v/>
      </c>
      <c r="S184" s="27" t="str">
        <f>IF(A184="","",COUNTIFS('6_主题证据映射'!$B$2:$B$501,A184,'6_主题证据映射'!$F$2:$F$501,"反例证据"))</f>
        <v/>
      </c>
      <c r="T184" s="27" t="str">
        <f t="shared" si="29"/>
        <v/>
      </c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7" t="str">
        <f>IF(A185="","",COUNTIFS('6_主题证据映射'!$B$2:$B$501,A185,'6_主题证据映射'!$F$2:$F$501,"核心证据")+COUNTIFS('6_主题证据映射'!$B$2:$B$501,A185,'6_主题证据映射'!$F$2:$F$501,"支持证据"))</f>
        <v/>
      </c>
      <c r="S185" s="27" t="str">
        <f>IF(A185="","",COUNTIFS('6_主题证据映射'!$B$2:$B$501,A185,'6_主题证据映射'!$F$2:$F$501,"反例证据"))</f>
        <v/>
      </c>
      <c r="T185" s="27" t="str">
        <f t="shared" si="29"/>
        <v/>
      </c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7" t="str">
        <f>IF(A186="","",COUNTIFS('6_主题证据映射'!$B$2:$B$501,A186,'6_主题证据映射'!$F$2:$F$501,"核心证据")+COUNTIFS('6_主题证据映射'!$B$2:$B$501,A186,'6_主题证据映射'!$F$2:$F$501,"支持证据"))</f>
        <v/>
      </c>
      <c r="S186" s="27" t="str">
        <f>IF(A186="","",COUNTIFS('6_主题证据映射'!$B$2:$B$501,A186,'6_主题证据映射'!$F$2:$F$501,"反例证据"))</f>
        <v/>
      </c>
      <c r="T186" s="27" t="str">
        <f t="shared" si="29"/>
        <v/>
      </c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7" t="str">
        <f>IF(A187="","",COUNTIFS('6_主题证据映射'!$B$2:$B$501,A187,'6_主题证据映射'!$F$2:$F$501,"核心证据")+COUNTIFS('6_主题证据映射'!$B$2:$B$501,A187,'6_主题证据映射'!$F$2:$F$501,"支持证据"))</f>
        <v/>
      </c>
      <c r="S187" s="27" t="str">
        <f>IF(A187="","",COUNTIFS('6_主题证据映射'!$B$2:$B$501,A187,'6_主题证据映射'!$F$2:$F$501,"反例证据"))</f>
        <v/>
      </c>
      <c r="T187" s="27" t="str">
        <f t="shared" si="29"/>
        <v/>
      </c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7" t="str">
        <f>IF(A188="","",COUNTIFS('6_主题证据映射'!$B$2:$B$501,A188,'6_主题证据映射'!$F$2:$F$501,"核心证据")+COUNTIFS('6_主题证据映射'!$B$2:$B$501,A188,'6_主题证据映射'!$F$2:$F$501,"支持证据"))</f>
        <v/>
      </c>
      <c r="S188" s="27" t="str">
        <f>IF(A188="","",COUNTIFS('6_主题证据映射'!$B$2:$B$501,A188,'6_主题证据映射'!$F$2:$F$501,"反例证据"))</f>
        <v/>
      </c>
      <c r="T188" s="27" t="str">
        <f t="shared" si="29"/>
        <v/>
      </c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7" t="str">
        <f>IF(A189="","",COUNTIFS('6_主题证据映射'!$B$2:$B$501,A189,'6_主题证据映射'!$F$2:$F$501,"核心证据")+COUNTIFS('6_主题证据映射'!$B$2:$B$501,A189,'6_主题证据映射'!$F$2:$F$501,"支持证据"))</f>
        <v/>
      </c>
      <c r="S189" s="27" t="str">
        <f>IF(A189="","",COUNTIFS('6_主题证据映射'!$B$2:$B$501,A189,'6_主题证据映射'!$F$2:$F$501,"反例证据"))</f>
        <v/>
      </c>
      <c r="T189" s="27" t="str">
        <f t="shared" si="29"/>
        <v/>
      </c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7" t="str">
        <f>IF(A190="","",COUNTIFS('6_主题证据映射'!$B$2:$B$501,A190,'6_主题证据映射'!$F$2:$F$501,"核心证据")+COUNTIFS('6_主题证据映射'!$B$2:$B$501,A190,'6_主题证据映射'!$F$2:$F$501,"支持证据"))</f>
        <v/>
      </c>
      <c r="S190" s="27" t="str">
        <f>IF(A190="","",COUNTIFS('6_主题证据映射'!$B$2:$B$501,A190,'6_主题证据映射'!$F$2:$F$501,"反例证据"))</f>
        <v/>
      </c>
      <c r="T190" s="27" t="str">
        <f t="shared" si="29"/>
        <v/>
      </c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7" t="str">
        <f>IF(A191="","",COUNTIFS('6_主题证据映射'!$B$2:$B$501,A191,'6_主题证据映射'!$F$2:$F$501,"核心证据")+COUNTIFS('6_主题证据映射'!$B$2:$B$501,A191,'6_主题证据映射'!$F$2:$F$501,"支持证据"))</f>
        <v/>
      </c>
      <c r="S191" s="27" t="str">
        <f>IF(A191="","",COUNTIFS('6_主题证据映射'!$B$2:$B$501,A191,'6_主题证据映射'!$F$2:$F$501,"反例证据"))</f>
        <v/>
      </c>
      <c r="T191" s="27" t="str">
        <f t="shared" si="29"/>
        <v/>
      </c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7" t="str">
        <f>IF(A192="","",COUNTIFS('6_主题证据映射'!$B$2:$B$501,A192,'6_主题证据映射'!$F$2:$F$501,"核心证据")+COUNTIFS('6_主题证据映射'!$B$2:$B$501,A192,'6_主题证据映射'!$F$2:$F$501,"支持证据"))</f>
        <v/>
      </c>
      <c r="S192" s="27" t="str">
        <f>IF(A192="","",COUNTIFS('6_主题证据映射'!$B$2:$B$501,A192,'6_主题证据映射'!$F$2:$F$501,"反例证据"))</f>
        <v/>
      </c>
      <c r="T192" s="27" t="str">
        <f t="shared" si="29"/>
        <v/>
      </c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7" t="str">
        <f>IF(A193="","",COUNTIFS('6_主题证据映射'!$B$2:$B$501,A193,'6_主题证据映射'!$F$2:$F$501,"核心证据")+COUNTIFS('6_主题证据映射'!$B$2:$B$501,A193,'6_主题证据映射'!$F$2:$F$501,"支持证据"))</f>
        <v/>
      </c>
      <c r="S193" s="27" t="str">
        <f>IF(A193="","",COUNTIFS('6_主题证据映射'!$B$2:$B$501,A193,'6_主题证据映射'!$F$2:$F$501,"反例证据"))</f>
        <v/>
      </c>
      <c r="T193" s="27" t="str">
        <f t="shared" si="29"/>
        <v/>
      </c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7" t="str">
        <f>IF(A194="","",COUNTIFS('6_主题证据映射'!$B$2:$B$501,A194,'6_主题证据映射'!$F$2:$F$501,"核心证据")+COUNTIFS('6_主题证据映射'!$B$2:$B$501,A194,'6_主题证据映射'!$F$2:$F$501,"支持证据"))</f>
        <v/>
      </c>
      <c r="S194" s="27" t="str">
        <f>IF(A194="","",COUNTIFS('6_主题证据映射'!$B$2:$B$501,A194,'6_主题证据映射'!$F$2:$F$501,"反例证据"))</f>
        <v/>
      </c>
      <c r="T194" s="27" t="str">
        <f t="shared" si="29"/>
        <v/>
      </c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7" t="str">
        <f>IF(A195="","",COUNTIFS('6_主题证据映射'!$B$2:$B$501,A195,'6_主题证据映射'!$F$2:$F$501,"核心证据")+COUNTIFS('6_主题证据映射'!$B$2:$B$501,A195,'6_主题证据映射'!$F$2:$F$501,"支持证据"))</f>
        <v/>
      </c>
      <c r="S195" s="27" t="str">
        <f>IF(A195="","",COUNTIFS('6_主题证据映射'!$B$2:$B$501,A195,'6_主题证据映射'!$F$2:$F$501,"反例证据"))</f>
        <v/>
      </c>
      <c r="T195" s="27" t="str">
        <f t="shared" si="29"/>
        <v/>
      </c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7" t="str">
        <f>IF(A196="","",COUNTIFS('6_主题证据映射'!$B$2:$B$501,A196,'6_主题证据映射'!$F$2:$F$501,"核心证据")+COUNTIFS('6_主题证据映射'!$B$2:$B$501,A196,'6_主题证据映射'!$F$2:$F$501,"支持证据"))</f>
        <v/>
      </c>
      <c r="S196" s="27" t="str">
        <f>IF(A196="","",COUNTIFS('6_主题证据映射'!$B$2:$B$501,A196,'6_主题证据映射'!$F$2:$F$501,"反例证据"))</f>
        <v/>
      </c>
      <c r="T196" s="27" t="str">
        <f t="shared" si="29"/>
        <v/>
      </c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7" t="str">
        <f>IF(A197="","",COUNTIFS('6_主题证据映射'!$B$2:$B$501,A197,'6_主题证据映射'!$F$2:$F$501,"核心证据")+COUNTIFS('6_主题证据映射'!$B$2:$B$501,A197,'6_主题证据映射'!$F$2:$F$501,"支持证据"))</f>
        <v/>
      </c>
      <c r="S197" s="27" t="str">
        <f>IF(A197="","",COUNTIFS('6_主题证据映射'!$B$2:$B$501,A197,'6_主题证据映射'!$F$2:$F$501,"反例证据"))</f>
        <v/>
      </c>
      <c r="T197" s="27" t="str">
        <f t="shared" si="29"/>
        <v/>
      </c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7" t="str">
        <f>IF(A198="","",COUNTIFS('6_主题证据映射'!$B$2:$B$501,A198,'6_主题证据映射'!$F$2:$F$501,"核心证据")+COUNTIFS('6_主题证据映射'!$B$2:$B$501,A198,'6_主题证据映射'!$F$2:$F$501,"支持证据"))</f>
        <v/>
      </c>
      <c r="S198" s="27" t="str">
        <f>IF(A198="","",COUNTIFS('6_主题证据映射'!$B$2:$B$501,A198,'6_主题证据映射'!$F$2:$F$501,"反例证据"))</f>
        <v/>
      </c>
      <c r="T198" s="27" t="str">
        <f t="shared" si="29"/>
        <v/>
      </c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7" t="str">
        <f>IF(A199="","",COUNTIFS('6_主题证据映射'!$B$2:$B$501,A199,'6_主题证据映射'!$F$2:$F$501,"核心证据")+COUNTIFS('6_主题证据映射'!$B$2:$B$501,A199,'6_主题证据映射'!$F$2:$F$501,"支持证据"))</f>
        <v/>
      </c>
      <c r="S199" s="27" t="str">
        <f>IF(A199="","",COUNTIFS('6_主题证据映射'!$B$2:$B$501,A199,'6_主题证据映射'!$F$2:$F$501,"反例证据"))</f>
        <v/>
      </c>
      <c r="T199" s="27" t="str">
        <f t="shared" si="29"/>
        <v/>
      </c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7" t="str">
        <f>IF(A200="","",COUNTIFS('6_主题证据映射'!$B$2:$B$501,A200,'6_主题证据映射'!$F$2:$F$501,"核心证据")+COUNTIFS('6_主题证据映射'!$B$2:$B$501,A200,'6_主题证据映射'!$F$2:$F$501,"支持证据"))</f>
        <v/>
      </c>
      <c r="S200" s="27" t="str">
        <f>IF(A200="","",COUNTIFS('6_主题证据映射'!$B$2:$B$501,A200,'6_主题证据映射'!$F$2:$F$501,"反例证据"))</f>
        <v/>
      </c>
      <c r="T200" s="27" t="str">
        <f t="shared" si="29"/>
        <v/>
      </c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7" t="str">
        <f>IF(A201="","",COUNTIFS('6_主题证据映射'!$B$2:$B$501,A201,'6_主题证据映射'!$F$2:$F$501,"核心证据")+COUNTIFS('6_主题证据映射'!$B$2:$B$501,A201,'6_主题证据映射'!$F$2:$F$501,"支持证据"))</f>
        <v/>
      </c>
      <c r="S201" s="27" t="str">
        <f>IF(A201="","",COUNTIFS('6_主题证据映射'!$B$2:$B$501,A201,'6_主题证据映射'!$F$2:$F$501,"反例证据"))</f>
        <v/>
      </c>
      <c r="T201" s="27" t="str">
        <f t="shared" si="29"/>
        <v/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正常" id="{2BE8E279-178D-44D7-AF74-46EB854316E7}">
            <x14:dxf>
              <font>
                <b/>
                <color rgb="FF256029"/>
              </font>
              <fill>
                <patternFill patternType="solid">
                  <fgColor rgb="FFE2F0D9"/>
                  <bgColor rgb="FFE2F0D9"/>
                </patternFill>
              </fill>
            </x14:dxf>
          </x14:cfRule>
          <xm:sqref>T2:T201</xm:sqref>
        </x14:conditionalFormatting>
        <x14:conditionalFormatting xmlns:xm="http://schemas.microsoft.com/office/excel/2006/main">
          <x14:cfRule type="containsText" priority="2" operator="containsText" text="待冻结" id="{5EE8434B-4E36-4916-81F4-D18DFDC32BA2}">
            <x14:dxf>
              <font>
                <b/>
                <color rgb="FF8A4B08"/>
              </font>
              <fill>
                <patternFill patternType="solid">
                  <fgColor rgb="FFFFF4CC"/>
                  <bgColor rgb="FFFFF4CC"/>
                </patternFill>
              </fill>
            </x14:dxf>
          </x14:cfRule>
          <xm:sqref>T2:T201</xm:sqref>
        </x14:conditionalFormatting>
        <x14:conditionalFormatting xmlns:xm="http://schemas.microsoft.com/office/excel/2006/main">
          <x14:cfRule type="containsText" priority="3" operator="containsText" text="需" id="{1B995D6B-B872-4FE3-B11F-0657AE21B69E}">
            <x14:dxf>
              <font>
                <b/>
                <color rgb="FFB42318"/>
              </font>
              <fill>
                <patternFill patternType="solid">
                  <fgColor rgb="FFFCE8E6"/>
                  <bgColor rgb="FFFCE8E6"/>
                </patternFill>
              </fill>
            </x14:dxf>
          </x14:cfRule>
          <xm:sqref>T2:T201</xm:sqref>
        </x14:conditionalFormatting>
        <x14:conditionalFormatting xmlns:xm="http://schemas.microsoft.com/office/excel/2006/main">
          <x14:cfRule type="containsText" priority="4" operator="containsText" text="禁止" id="{86603C77-A05A-4AAA-9489-B5F70AD61B2C}">
            <x14:dxf>
              <font>
                <b/>
                <color rgb="FFB42318"/>
              </font>
              <fill>
                <patternFill patternType="solid">
                  <fgColor rgb="FFFCE8E6"/>
                  <bgColor rgb="FFFCE8E6"/>
                </patternFill>
              </fill>
            </x14:dxf>
          </x14:cfRule>
          <xm:sqref>T2:T201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xr:uid="{57685B22-9AAD-4A72-8898-7B4680BB6CED}" type="list" allowBlank="0" errorStyle="stop" imeMode="noControl" operator="between" showDropDown="0" showErrorMessage="0" showInputMessage="0">
          <x14:formula1>
            <xm:f>"候选,发展中,保留,已合并,已拆分,已删除"</xm:f>
          </x14:formula1>
          <xm:sqref>C2:C201</xm:sqref>
        </x14:dataValidation>
        <x14:dataValidation xr:uid="{753112DC-BCDA-4C6E-8171-EC4820828FE1}" type="list" allowBlank="0" errorStyle="stop" imeMode="noControl" operator="between" showDropDown="0" showErrorMessage="0" showInputMessage="0">
          <x14:formula1>
            <xm:f>"未开始,已检索未发现,已发现并处理"</xm:f>
          </x14:formula1>
          <xm:sqref>K2:K201</xm:sqref>
        </x14:dataValidation>
        <x14:dataValidation xr:uid="{6A95FF8D-7BC6-4487-8A55-21B0623983BA}" type="list" allowBlank="0" errorStyle="stop" imeMode="noControl" operator="between" showDropDown="0" showErrorMessage="0" showInputMessage="0">
          <x14:formula1>
            <xm:f>"未开始,进行中,已完成"</xm:f>
          </x14:formula1>
          <xm:sqref>L2:L201</xm:sqref>
        </x14:dataValidation>
        <x14:dataValidation xr:uid="{479B06FA-1856-45DD-AA56-75CD10BFF038}" type="list" allowBlank="0" errorStyle="stop" imeMode="noControl" operator="between" showDropDown="0" showErrorMessage="0" showInputMessage="0">
          <x14:formula1>
            <xm:f>"正常,需补充,需复核"</xm:f>
          </x14:formula1>
          <xm:sqref>T2:T201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18"/>
    <col customWidth="1" min="2" max="3" width="16"/>
    <col customWidth="1" min="4" max="5" width="18"/>
    <col customWidth="1" min="6" max="6" width="20"/>
    <col customWidth="1" min="7" max="7" width="42"/>
    <col customWidth="1" min="8" max="8" width="16"/>
    <col customWidth="1" min="9" max="9" width="24"/>
    <col customWidth="1" min="10" max="10" width="16"/>
  </cols>
  <sheetData>
    <row r="1" ht="38" customHeight="1">
      <c r="A1" s="25" t="s">
        <v>174</v>
      </c>
      <c r="B1" s="25" t="s">
        <v>156</v>
      </c>
      <c r="C1" s="25" t="s">
        <v>127</v>
      </c>
      <c r="D1" s="25" t="s">
        <v>144</v>
      </c>
      <c r="E1" s="25" t="s">
        <v>99</v>
      </c>
      <c r="F1" s="25" t="s">
        <v>175</v>
      </c>
      <c r="G1" s="25" t="s">
        <v>176</v>
      </c>
      <c r="H1" s="25" t="s">
        <v>177</v>
      </c>
      <c r="I1" s="25" t="s">
        <v>178</v>
      </c>
      <c r="J1" s="25" t="s">
        <v>112</v>
      </c>
    </row>
    <row r="2">
      <c r="A2" s="26"/>
      <c r="B2" s="26"/>
      <c r="C2" s="26"/>
      <c r="D2" s="26"/>
      <c r="E2" s="26"/>
      <c r="F2" s="26"/>
      <c r="G2" s="26"/>
      <c r="H2" s="26"/>
      <c r="I2" s="26"/>
      <c r="J2" s="27" t="str">
        <f t="shared" ref="J2:J9" si="30">IF(A2="","",IF(OR(B2="",C2="",D2="",E2="",F2="",G2="",H2="",I2=""),"需补充","正常"))</f>
        <v/>
      </c>
    </row>
    <row r="3">
      <c r="A3" s="26"/>
      <c r="B3" s="26"/>
      <c r="C3" s="26"/>
      <c r="D3" s="26"/>
      <c r="E3" s="26"/>
      <c r="F3" s="26"/>
      <c r="G3" s="26"/>
      <c r="H3" s="26"/>
      <c r="I3" s="26"/>
      <c r="J3" s="27" t="str">
        <f t="shared" si="30"/>
        <v/>
      </c>
    </row>
    <row r="4">
      <c r="A4" s="26"/>
      <c r="B4" s="26"/>
      <c r="C4" s="26"/>
      <c r="D4" s="26"/>
      <c r="E4" s="26"/>
      <c r="F4" s="26"/>
      <c r="G4" s="26"/>
      <c r="H4" s="26"/>
      <c r="I4" s="26"/>
      <c r="J4" s="27" t="str">
        <f t="shared" si="30"/>
        <v/>
      </c>
    </row>
    <row r="5">
      <c r="A5" s="26"/>
      <c r="B5" s="26"/>
      <c r="C5" s="26"/>
      <c r="D5" s="26"/>
      <c r="E5" s="26"/>
      <c r="F5" s="26"/>
      <c r="G5" s="26"/>
      <c r="H5" s="26"/>
      <c r="I5" s="26"/>
      <c r="J5" s="27" t="str">
        <f t="shared" si="30"/>
        <v/>
      </c>
    </row>
    <row r="6">
      <c r="A6" s="26"/>
      <c r="B6" s="26"/>
      <c r="C6" s="26"/>
      <c r="D6" s="26"/>
      <c r="E6" s="26"/>
      <c r="F6" s="26"/>
      <c r="G6" s="26"/>
      <c r="H6" s="26"/>
      <c r="I6" s="26"/>
      <c r="J6" s="27" t="str">
        <f t="shared" si="30"/>
        <v/>
      </c>
    </row>
    <row r="7">
      <c r="A7" s="26"/>
      <c r="B7" s="26"/>
      <c r="C7" s="26"/>
      <c r="D7" s="26"/>
      <c r="E7" s="26"/>
      <c r="F7" s="26"/>
      <c r="G7" s="26"/>
      <c r="H7" s="26"/>
      <c r="I7" s="26"/>
      <c r="J7" s="27" t="str">
        <f t="shared" si="30"/>
        <v/>
      </c>
    </row>
    <row r="8">
      <c r="A8" s="26"/>
      <c r="B8" s="26"/>
      <c r="C8" s="26"/>
      <c r="D8" s="26"/>
      <c r="E8" s="26"/>
      <c r="F8" s="26"/>
      <c r="G8" s="26"/>
      <c r="H8" s="26"/>
      <c r="I8" s="26"/>
      <c r="J8" s="27" t="str">
        <f t="shared" si="30"/>
        <v/>
      </c>
    </row>
    <row r="9">
      <c r="A9" s="26"/>
      <c r="B9" s="26"/>
      <c r="C9" s="26"/>
      <c r="D9" s="26"/>
      <c r="E9" s="26"/>
      <c r="F9" s="26"/>
      <c r="G9" s="26"/>
      <c r="H9" s="26"/>
      <c r="I9" s="26"/>
      <c r="J9" s="27" t="str">
        <f t="shared" si="30"/>
        <v/>
      </c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7" t="str">
        <f t="shared" ref="J10:J73" si="31">IF(A10="","",IF(OR(B10="",C10="",D10="",E10="",F10="",G10="",H10="",I10=""),"需补充","正常"))</f>
        <v/>
      </c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7" t="str">
        <f t="shared" si="31"/>
        <v/>
      </c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7" t="str">
        <f t="shared" si="31"/>
        <v/>
      </c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7" t="str">
        <f t="shared" si="31"/>
        <v/>
      </c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7" t="str">
        <f t="shared" si="31"/>
        <v/>
      </c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7" t="str">
        <f t="shared" si="31"/>
        <v/>
      </c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7" t="str">
        <f t="shared" si="31"/>
        <v/>
      </c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7" t="str">
        <f t="shared" si="31"/>
        <v/>
      </c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7" t="str">
        <f t="shared" si="31"/>
        <v/>
      </c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7" t="str">
        <f t="shared" si="31"/>
        <v/>
      </c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7" t="str">
        <f t="shared" si="31"/>
        <v/>
      </c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7" t="str">
        <f t="shared" si="31"/>
        <v/>
      </c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7" t="str">
        <f t="shared" si="31"/>
        <v/>
      </c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7" t="str">
        <f t="shared" si="31"/>
        <v/>
      </c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7" t="str">
        <f t="shared" si="31"/>
        <v/>
      </c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7" t="str">
        <f t="shared" si="31"/>
        <v/>
      </c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7" t="str">
        <f t="shared" si="31"/>
        <v/>
      </c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7" t="str">
        <f t="shared" si="31"/>
        <v/>
      </c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7" t="str">
        <f t="shared" si="31"/>
        <v/>
      </c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7" t="str">
        <f t="shared" si="31"/>
        <v/>
      </c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7" t="str">
        <f t="shared" si="31"/>
        <v/>
      </c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7" t="str">
        <f t="shared" si="31"/>
        <v/>
      </c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7" t="str">
        <f t="shared" si="31"/>
        <v/>
      </c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7" t="str">
        <f t="shared" si="31"/>
        <v/>
      </c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7" t="str">
        <f t="shared" si="31"/>
        <v/>
      </c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7" t="str">
        <f t="shared" si="31"/>
        <v/>
      </c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7" t="str">
        <f t="shared" si="31"/>
        <v/>
      </c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7" t="str">
        <f t="shared" si="31"/>
        <v/>
      </c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7" t="str">
        <f t="shared" si="31"/>
        <v/>
      </c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7" t="str">
        <f t="shared" si="31"/>
        <v/>
      </c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7" t="str">
        <f t="shared" si="31"/>
        <v/>
      </c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7" t="str">
        <f t="shared" si="31"/>
        <v/>
      </c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7" t="str">
        <f t="shared" si="31"/>
        <v/>
      </c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7" t="str">
        <f t="shared" si="31"/>
        <v/>
      </c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7" t="str">
        <f t="shared" si="31"/>
        <v/>
      </c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7" t="str">
        <f t="shared" si="31"/>
        <v/>
      </c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7" t="str">
        <f t="shared" si="31"/>
        <v/>
      </c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7" t="str">
        <f t="shared" si="31"/>
        <v/>
      </c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7" t="str">
        <f t="shared" si="31"/>
        <v/>
      </c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7" t="str">
        <f t="shared" si="31"/>
        <v/>
      </c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7" t="str">
        <f t="shared" si="31"/>
        <v/>
      </c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7" t="str">
        <f t="shared" si="31"/>
        <v/>
      </c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7" t="str">
        <f t="shared" si="31"/>
        <v/>
      </c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7" t="str">
        <f t="shared" si="31"/>
        <v/>
      </c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7" t="str">
        <f t="shared" si="31"/>
        <v/>
      </c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7" t="str">
        <f t="shared" si="31"/>
        <v/>
      </c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7" t="str">
        <f t="shared" si="31"/>
        <v/>
      </c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7" t="str">
        <f t="shared" si="31"/>
        <v/>
      </c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7" t="str">
        <f t="shared" si="31"/>
        <v/>
      </c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7" t="str">
        <f t="shared" si="31"/>
        <v/>
      </c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7" t="str">
        <f t="shared" si="31"/>
        <v/>
      </c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7" t="str">
        <f t="shared" si="31"/>
        <v/>
      </c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7" t="str">
        <f t="shared" si="31"/>
        <v/>
      </c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7" t="str">
        <f t="shared" si="31"/>
        <v/>
      </c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7" t="str">
        <f t="shared" si="31"/>
        <v/>
      </c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7" t="str">
        <f t="shared" si="31"/>
        <v/>
      </c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7" t="str">
        <f t="shared" si="31"/>
        <v/>
      </c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7" t="str">
        <f t="shared" si="31"/>
        <v/>
      </c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7" t="str">
        <f t="shared" si="31"/>
        <v/>
      </c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7" t="str">
        <f t="shared" si="31"/>
        <v/>
      </c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7" t="str">
        <f t="shared" si="31"/>
        <v/>
      </c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7" t="str">
        <f t="shared" si="31"/>
        <v/>
      </c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7" t="str">
        <f t="shared" si="31"/>
        <v/>
      </c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7" t="str">
        <f t="shared" si="31"/>
        <v/>
      </c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7" t="str">
        <f t="shared" ref="J74:J99" si="32">IF(A74="","",IF(OR(B74="",C74="",D74="",E74="",F74="",G74="",H74="",I74=""),"需补充","正常"))</f>
        <v/>
      </c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7" t="str">
        <f t="shared" si="32"/>
        <v/>
      </c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7" t="str">
        <f t="shared" si="32"/>
        <v/>
      </c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7" t="str">
        <f t="shared" si="32"/>
        <v/>
      </c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7" t="str">
        <f t="shared" si="32"/>
        <v/>
      </c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7" t="str">
        <f t="shared" si="32"/>
        <v/>
      </c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7" t="str">
        <f t="shared" si="32"/>
        <v/>
      </c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7" t="str">
        <f t="shared" si="32"/>
        <v/>
      </c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7" t="str">
        <f t="shared" si="32"/>
        <v/>
      </c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7" t="str">
        <f t="shared" si="32"/>
        <v/>
      </c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7" t="str">
        <f t="shared" si="32"/>
        <v/>
      </c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7" t="str">
        <f t="shared" si="32"/>
        <v/>
      </c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7" t="str">
        <f t="shared" si="32"/>
        <v/>
      </c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7" t="str">
        <f t="shared" si="32"/>
        <v/>
      </c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7" t="str">
        <f t="shared" si="32"/>
        <v/>
      </c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7" t="str">
        <f t="shared" si="32"/>
        <v/>
      </c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7" t="str">
        <f t="shared" si="32"/>
        <v/>
      </c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7" t="str">
        <f t="shared" si="32"/>
        <v/>
      </c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7" t="str">
        <f t="shared" si="32"/>
        <v/>
      </c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7" t="str">
        <f t="shared" si="32"/>
        <v/>
      </c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7" t="str">
        <f t="shared" si="32"/>
        <v/>
      </c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7" t="str">
        <f t="shared" si="32"/>
        <v/>
      </c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7" t="str">
        <f t="shared" si="32"/>
        <v/>
      </c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7" t="str">
        <f t="shared" si="32"/>
        <v/>
      </c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7" t="str">
        <f t="shared" si="32"/>
        <v/>
      </c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7" t="str">
        <f t="shared" si="32"/>
        <v/>
      </c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7" t="str">
        <f t="shared" ref="J100:J163" si="33">IF(A100="","",IF(OR(B100="",C100="",D100="",E100="",F100="",G100="",H100="",I100=""),"需补充","正常"))</f>
        <v/>
      </c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7" t="str">
        <f t="shared" si="33"/>
        <v/>
      </c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7" t="str">
        <f t="shared" si="33"/>
        <v/>
      </c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7" t="str">
        <f t="shared" si="33"/>
        <v/>
      </c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7" t="str">
        <f t="shared" si="33"/>
        <v/>
      </c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7" t="str">
        <f t="shared" si="33"/>
        <v/>
      </c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7" t="str">
        <f t="shared" si="33"/>
        <v/>
      </c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7" t="str">
        <f t="shared" si="33"/>
        <v/>
      </c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7" t="str">
        <f t="shared" si="33"/>
        <v/>
      </c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7" t="str">
        <f t="shared" si="33"/>
        <v/>
      </c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7" t="str">
        <f t="shared" si="33"/>
        <v/>
      </c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7" t="str">
        <f t="shared" si="33"/>
        <v/>
      </c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7" t="str">
        <f t="shared" si="33"/>
        <v/>
      </c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7" t="str">
        <f t="shared" si="33"/>
        <v/>
      </c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7" t="str">
        <f t="shared" si="33"/>
        <v/>
      </c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7" t="str">
        <f t="shared" si="33"/>
        <v/>
      </c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7" t="str">
        <f t="shared" si="33"/>
        <v/>
      </c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7" t="str">
        <f t="shared" si="33"/>
        <v/>
      </c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7" t="str">
        <f t="shared" si="33"/>
        <v/>
      </c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7" t="str">
        <f t="shared" si="33"/>
        <v/>
      </c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7" t="str">
        <f t="shared" si="33"/>
        <v/>
      </c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7" t="str">
        <f t="shared" si="33"/>
        <v/>
      </c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7" t="str">
        <f t="shared" si="33"/>
        <v/>
      </c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7" t="str">
        <f t="shared" si="33"/>
        <v/>
      </c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7" t="str">
        <f t="shared" si="33"/>
        <v/>
      </c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7" t="str">
        <f t="shared" si="33"/>
        <v/>
      </c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7" t="str">
        <f t="shared" si="33"/>
        <v/>
      </c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7" t="str">
        <f t="shared" si="33"/>
        <v/>
      </c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7" t="str">
        <f t="shared" si="33"/>
        <v/>
      </c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7" t="str">
        <f t="shared" si="33"/>
        <v/>
      </c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7" t="str">
        <f t="shared" si="33"/>
        <v/>
      </c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7" t="str">
        <f t="shared" si="33"/>
        <v/>
      </c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7" t="str">
        <f t="shared" si="33"/>
        <v/>
      </c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7" t="str">
        <f t="shared" si="33"/>
        <v/>
      </c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7" t="str">
        <f t="shared" si="33"/>
        <v/>
      </c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7" t="str">
        <f t="shared" si="33"/>
        <v/>
      </c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7" t="str">
        <f t="shared" si="33"/>
        <v/>
      </c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7" t="str">
        <f t="shared" si="33"/>
        <v/>
      </c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7" t="str">
        <f t="shared" si="33"/>
        <v/>
      </c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7" t="str">
        <f t="shared" si="33"/>
        <v/>
      </c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7" t="str">
        <f t="shared" si="33"/>
        <v/>
      </c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7" t="str">
        <f t="shared" si="33"/>
        <v/>
      </c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7" t="str">
        <f t="shared" si="33"/>
        <v/>
      </c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7" t="str">
        <f t="shared" si="33"/>
        <v/>
      </c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7" t="str">
        <f t="shared" si="33"/>
        <v/>
      </c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7" t="str">
        <f t="shared" si="33"/>
        <v/>
      </c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7" t="str">
        <f t="shared" si="33"/>
        <v/>
      </c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7" t="str">
        <f t="shared" si="33"/>
        <v/>
      </c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7" t="str">
        <f t="shared" si="33"/>
        <v/>
      </c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7" t="str">
        <f t="shared" si="33"/>
        <v/>
      </c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7" t="str">
        <f t="shared" si="33"/>
        <v/>
      </c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7" t="str">
        <f t="shared" si="33"/>
        <v/>
      </c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7" t="str">
        <f t="shared" si="33"/>
        <v/>
      </c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7" t="str">
        <f t="shared" si="33"/>
        <v/>
      </c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7" t="str">
        <f t="shared" si="33"/>
        <v/>
      </c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7" t="str">
        <f t="shared" si="33"/>
        <v/>
      </c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7" t="str">
        <f t="shared" si="33"/>
        <v/>
      </c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7" t="str">
        <f t="shared" si="33"/>
        <v/>
      </c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7" t="str">
        <f t="shared" si="33"/>
        <v/>
      </c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7" t="str">
        <f t="shared" si="33"/>
        <v/>
      </c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7" t="str">
        <f t="shared" si="33"/>
        <v/>
      </c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7" t="str">
        <f t="shared" si="33"/>
        <v/>
      </c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7" t="str">
        <f t="shared" si="33"/>
        <v/>
      </c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7" t="str">
        <f t="shared" si="33"/>
        <v/>
      </c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7" t="str">
        <f t="shared" ref="J164:J227" si="34">IF(A164="","",IF(OR(B164="",C164="",D164="",E164="",F164="",G164="",H164="",I164=""),"需补充","正常"))</f>
        <v/>
      </c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7" t="str">
        <f t="shared" si="34"/>
        <v/>
      </c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7" t="str">
        <f t="shared" si="34"/>
        <v/>
      </c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7" t="str">
        <f t="shared" si="34"/>
        <v/>
      </c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7" t="str">
        <f t="shared" si="34"/>
        <v/>
      </c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7" t="str">
        <f t="shared" si="34"/>
        <v/>
      </c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7" t="str">
        <f t="shared" si="34"/>
        <v/>
      </c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7" t="str">
        <f t="shared" si="34"/>
        <v/>
      </c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7" t="str">
        <f t="shared" si="34"/>
        <v/>
      </c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7" t="str">
        <f t="shared" si="34"/>
        <v/>
      </c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7" t="str">
        <f t="shared" si="34"/>
        <v/>
      </c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7" t="str">
        <f t="shared" si="34"/>
        <v/>
      </c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7" t="str">
        <f t="shared" si="34"/>
        <v/>
      </c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7" t="str">
        <f t="shared" si="34"/>
        <v/>
      </c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7" t="str">
        <f t="shared" si="34"/>
        <v/>
      </c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7" t="str">
        <f t="shared" si="34"/>
        <v/>
      </c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7" t="str">
        <f t="shared" si="34"/>
        <v/>
      </c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7" t="str">
        <f t="shared" si="34"/>
        <v/>
      </c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7" t="str">
        <f t="shared" si="34"/>
        <v/>
      </c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7" t="str">
        <f t="shared" si="34"/>
        <v/>
      </c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7" t="str">
        <f t="shared" si="34"/>
        <v/>
      </c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7" t="str">
        <f t="shared" si="34"/>
        <v/>
      </c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7" t="str">
        <f t="shared" si="34"/>
        <v/>
      </c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7" t="str">
        <f t="shared" si="34"/>
        <v/>
      </c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7" t="str">
        <f t="shared" si="34"/>
        <v/>
      </c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7" t="str">
        <f t="shared" si="34"/>
        <v/>
      </c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7" t="str">
        <f t="shared" si="34"/>
        <v/>
      </c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7" t="str">
        <f t="shared" si="34"/>
        <v/>
      </c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7" t="str">
        <f t="shared" si="34"/>
        <v/>
      </c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7" t="str">
        <f t="shared" si="34"/>
        <v/>
      </c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7" t="str">
        <f t="shared" si="34"/>
        <v/>
      </c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7" t="str">
        <f t="shared" si="34"/>
        <v/>
      </c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7" t="str">
        <f t="shared" si="34"/>
        <v/>
      </c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7" t="str">
        <f t="shared" si="34"/>
        <v/>
      </c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7" t="str">
        <f t="shared" si="34"/>
        <v/>
      </c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7" t="str">
        <f t="shared" si="34"/>
        <v/>
      </c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7" t="str">
        <f t="shared" si="34"/>
        <v/>
      </c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7" t="str">
        <f t="shared" si="34"/>
        <v/>
      </c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7" t="str">
        <f t="shared" si="34"/>
        <v/>
      </c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7" t="str">
        <f t="shared" si="34"/>
        <v/>
      </c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7" t="str">
        <f t="shared" si="34"/>
        <v/>
      </c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7" t="str">
        <f t="shared" si="34"/>
        <v/>
      </c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7" t="str">
        <f t="shared" si="34"/>
        <v/>
      </c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7" t="str">
        <f t="shared" si="34"/>
        <v/>
      </c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7" t="str">
        <f t="shared" si="34"/>
        <v/>
      </c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7" t="str">
        <f t="shared" si="34"/>
        <v/>
      </c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7" t="str">
        <f t="shared" si="34"/>
        <v/>
      </c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7" t="str">
        <f t="shared" si="34"/>
        <v/>
      </c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7" t="str">
        <f t="shared" si="34"/>
        <v/>
      </c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7" t="str">
        <f t="shared" si="34"/>
        <v/>
      </c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7" t="str">
        <f t="shared" si="34"/>
        <v/>
      </c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7" t="str">
        <f t="shared" si="34"/>
        <v/>
      </c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7" t="str">
        <f t="shared" si="34"/>
        <v/>
      </c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7" t="str">
        <f t="shared" si="34"/>
        <v/>
      </c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7" t="str">
        <f t="shared" si="34"/>
        <v/>
      </c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7" t="str">
        <f t="shared" si="34"/>
        <v/>
      </c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7" t="str">
        <f t="shared" si="34"/>
        <v/>
      </c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7" t="str">
        <f t="shared" si="34"/>
        <v/>
      </c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7" t="str">
        <f t="shared" si="34"/>
        <v/>
      </c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7" t="str">
        <f t="shared" si="34"/>
        <v/>
      </c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7" t="str">
        <f t="shared" si="34"/>
        <v/>
      </c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7" t="str">
        <f t="shared" si="34"/>
        <v/>
      </c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7" t="str">
        <f t="shared" si="34"/>
        <v/>
      </c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7" t="str">
        <f t="shared" si="34"/>
        <v/>
      </c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7" t="str">
        <f t="shared" ref="J228:J291" si="35">IF(A228="","",IF(OR(B228="",C228="",D228="",E228="",F228="",G228="",H228="",I228=""),"需补充","正常"))</f>
        <v/>
      </c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7" t="str">
        <f t="shared" si="35"/>
        <v/>
      </c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7" t="str">
        <f t="shared" si="35"/>
        <v/>
      </c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7" t="str">
        <f t="shared" si="35"/>
        <v/>
      </c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7" t="str">
        <f t="shared" si="35"/>
        <v/>
      </c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7" t="str">
        <f t="shared" si="35"/>
        <v/>
      </c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7" t="str">
        <f t="shared" si="35"/>
        <v/>
      </c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7" t="str">
        <f t="shared" si="35"/>
        <v/>
      </c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7" t="str">
        <f t="shared" si="35"/>
        <v/>
      </c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7" t="str">
        <f t="shared" si="35"/>
        <v/>
      </c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7" t="str">
        <f t="shared" si="35"/>
        <v/>
      </c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7" t="str">
        <f t="shared" si="35"/>
        <v/>
      </c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7" t="str">
        <f t="shared" si="35"/>
        <v/>
      </c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7" t="str">
        <f t="shared" si="35"/>
        <v/>
      </c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7" t="str">
        <f t="shared" si="35"/>
        <v/>
      </c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7" t="str">
        <f t="shared" si="35"/>
        <v/>
      </c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7" t="str">
        <f t="shared" si="35"/>
        <v/>
      </c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7" t="str">
        <f t="shared" si="35"/>
        <v/>
      </c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7" t="str">
        <f t="shared" si="35"/>
        <v/>
      </c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7" t="str">
        <f t="shared" si="35"/>
        <v/>
      </c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7" t="str">
        <f t="shared" si="35"/>
        <v/>
      </c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7" t="str">
        <f t="shared" si="35"/>
        <v/>
      </c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7" t="str">
        <f t="shared" si="35"/>
        <v/>
      </c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7" t="str">
        <f t="shared" si="35"/>
        <v/>
      </c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7" t="str">
        <f t="shared" si="35"/>
        <v/>
      </c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7" t="str">
        <f t="shared" si="35"/>
        <v/>
      </c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7" t="str">
        <f t="shared" si="35"/>
        <v/>
      </c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7" t="str">
        <f t="shared" si="35"/>
        <v/>
      </c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7" t="str">
        <f t="shared" si="35"/>
        <v/>
      </c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7" t="str">
        <f t="shared" si="35"/>
        <v/>
      </c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7" t="str">
        <f t="shared" si="35"/>
        <v/>
      </c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7" t="str">
        <f t="shared" si="35"/>
        <v/>
      </c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7" t="str">
        <f t="shared" si="35"/>
        <v/>
      </c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7" t="str">
        <f t="shared" si="35"/>
        <v/>
      </c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7" t="str">
        <f t="shared" si="35"/>
        <v/>
      </c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7" t="str">
        <f t="shared" si="35"/>
        <v/>
      </c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7" t="str">
        <f t="shared" si="35"/>
        <v/>
      </c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7" t="str">
        <f t="shared" si="35"/>
        <v/>
      </c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7" t="str">
        <f t="shared" si="35"/>
        <v/>
      </c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7" t="str">
        <f t="shared" si="35"/>
        <v/>
      </c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7" t="str">
        <f t="shared" si="35"/>
        <v/>
      </c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7" t="str">
        <f t="shared" si="35"/>
        <v/>
      </c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7" t="str">
        <f t="shared" si="35"/>
        <v/>
      </c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7" t="str">
        <f t="shared" si="35"/>
        <v/>
      </c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7" t="str">
        <f t="shared" si="35"/>
        <v/>
      </c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7" t="str">
        <f t="shared" si="35"/>
        <v/>
      </c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7" t="str">
        <f t="shared" si="35"/>
        <v/>
      </c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7" t="str">
        <f t="shared" si="35"/>
        <v/>
      </c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7" t="str">
        <f t="shared" si="35"/>
        <v/>
      </c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7" t="str">
        <f t="shared" si="35"/>
        <v/>
      </c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7" t="str">
        <f t="shared" si="35"/>
        <v/>
      </c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7" t="str">
        <f t="shared" si="35"/>
        <v/>
      </c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7" t="str">
        <f t="shared" si="35"/>
        <v/>
      </c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7" t="str">
        <f t="shared" si="35"/>
        <v/>
      </c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7" t="str">
        <f t="shared" si="35"/>
        <v/>
      </c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7" t="str">
        <f t="shared" si="35"/>
        <v/>
      </c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7" t="str">
        <f t="shared" si="35"/>
        <v/>
      </c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7" t="str">
        <f t="shared" si="35"/>
        <v/>
      </c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7" t="str">
        <f t="shared" si="35"/>
        <v/>
      </c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7" t="str">
        <f t="shared" si="35"/>
        <v/>
      </c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7" t="str">
        <f t="shared" si="35"/>
        <v/>
      </c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7" t="str">
        <f t="shared" si="35"/>
        <v/>
      </c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7" t="str">
        <f t="shared" si="35"/>
        <v/>
      </c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7" t="str">
        <f t="shared" si="35"/>
        <v/>
      </c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7" t="str">
        <f t="shared" ref="J292:J355" si="36">IF(A292="","",IF(OR(B292="",C292="",D292="",E292="",F292="",G292="",H292="",I292=""),"需补充","正常"))</f>
        <v/>
      </c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7" t="str">
        <f t="shared" si="36"/>
        <v/>
      </c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7" t="str">
        <f t="shared" si="36"/>
        <v/>
      </c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7" t="str">
        <f t="shared" si="36"/>
        <v/>
      </c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7" t="str">
        <f t="shared" si="36"/>
        <v/>
      </c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7" t="str">
        <f t="shared" si="36"/>
        <v/>
      </c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7" t="str">
        <f t="shared" si="36"/>
        <v/>
      </c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7" t="str">
        <f t="shared" si="36"/>
        <v/>
      </c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7" t="str">
        <f t="shared" si="36"/>
        <v/>
      </c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7" t="str">
        <f t="shared" si="36"/>
        <v/>
      </c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7" t="str">
        <f t="shared" si="36"/>
        <v/>
      </c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7" t="str">
        <f t="shared" si="36"/>
        <v/>
      </c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7" t="str">
        <f t="shared" si="36"/>
        <v/>
      </c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7" t="str">
        <f t="shared" si="36"/>
        <v/>
      </c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7" t="str">
        <f t="shared" si="36"/>
        <v/>
      </c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7" t="str">
        <f t="shared" si="36"/>
        <v/>
      </c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7" t="str">
        <f t="shared" si="36"/>
        <v/>
      </c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7" t="str">
        <f t="shared" si="36"/>
        <v/>
      </c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7" t="str">
        <f t="shared" si="36"/>
        <v/>
      </c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7" t="str">
        <f t="shared" si="36"/>
        <v/>
      </c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7" t="str">
        <f t="shared" si="36"/>
        <v/>
      </c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7" t="str">
        <f t="shared" si="36"/>
        <v/>
      </c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7" t="str">
        <f t="shared" si="36"/>
        <v/>
      </c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7" t="str">
        <f t="shared" si="36"/>
        <v/>
      </c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7" t="str">
        <f t="shared" si="36"/>
        <v/>
      </c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7" t="str">
        <f t="shared" si="36"/>
        <v/>
      </c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7" t="str">
        <f t="shared" si="36"/>
        <v/>
      </c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7" t="str">
        <f t="shared" si="36"/>
        <v/>
      </c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7" t="str">
        <f t="shared" si="36"/>
        <v/>
      </c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7" t="str">
        <f t="shared" si="36"/>
        <v/>
      </c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7" t="str">
        <f t="shared" si="36"/>
        <v/>
      </c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7" t="str">
        <f t="shared" si="36"/>
        <v/>
      </c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7" t="str">
        <f t="shared" si="36"/>
        <v/>
      </c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7" t="str">
        <f t="shared" si="36"/>
        <v/>
      </c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7" t="str">
        <f t="shared" si="36"/>
        <v/>
      </c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7" t="str">
        <f t="shared" si="36"/>
        <v/>
      </c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7" t="str">
        <f t="shared" si="36"/>
        <v/>
      </c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7" t="str">
        <f t="shared" si="36"/>
        <v/>
      </c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7" t="str">
        <f t="shared" si="36"/>
        <v/>
      </c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7" t="str">
        <f t="shared" si="36"/>
        <v/>
      </c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7" t="str">
        <f t="shared" si="36"/>
        <v/>
      </c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7" t="str">
        <f t="shared" si="36"/>
        <v/>
      </c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7" t="str">
        <f t="shared" si="36"/>
        <v/>
      </c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7" t="str">
        <f t="shared" si="36"/>
        <v/>
      </c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7" t="str">
        <f t="shared" si="36"/>
        <v/>
      </c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7" t="str">
        <f t="shared" si="36"/>
        <v/>
      </c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7" t="str">
        <f t="shared" si="36"/>
        <v/>
      </c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7" t="str">
        <f t="shared" si="36"/>
        <v/>
      </c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7" t="str">
        <f t="shared" si="36"/>
        <v/>
      </c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7" t="str">
        <f t="shared" si="36"/>
        <v/>
      </c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7" t="str">
        <f t="shared" si="36"/>
        <v/>
      </c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7" t="str">
        <f t="shared" si="36"/>
        <v/>
      </c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7" t="str">
        <f t="shared" si="36"/>
        <v/>
      </c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7" t="str">
        <f t="shared" si="36"/>
        <v/>
      </c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7" t="str">
        <f t="shared" si="36"/>
        <v/>
      </c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7" t="str">
        <f t="shared" si="36"/>
        <v/>
      </c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7" t="str">
        <f t="shared" si="36"/>
        <v/>
      </c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7" t="str">
        <f t="shared" si="36"/>
        <v/>
      </c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7" t="str">
        <f t="shared" si="36"/>
        <v/>
      </c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7" t="str">
        <f t="shared" si="36"/>
        <v/>
      </c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7" t="str">
        <f t="shared" si="36"/>
        <v/>
      </c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7" t="str">
        <f t="shared" si="36"/>
        <v/>
      </c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7" t="str">
        <f t="shared" si="36"/>
        <v/>
      </c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7" t="str">
        <f t="shared" si="36"/>
        <v/>
      </c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7" t="str">
        <f t="shared" ref="J356:J419" si="37">IF(A356="","",IF(OR(B356="",C356="",D356="",E356="",F356="",G356="",H356="",I356=""),"需补充","正常"))</f>
        <v/>
      </c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7" t="str">
        <f t="shared" si="37"/>
        <v/>
      </c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7" t="str">
        <f t="shared" si="37"/>
        <v/>
      </c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7" t="str">
        <f t="shared" si="37"/>
        <v/>
      </c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7" t="str">
        <f t="shared" si="37"/>
        <v/>
      </c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7" t="str">
        <f t="shared" si="37"/>
        <v/>
      </c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7" t="str">
        <f t="shared" si="37"/>
        <v/>
      </c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7" t="str">
        <f t="shared" si="37"/>
        <v/>
      </c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7" t="str">
        <f t="shared" si="37"/>
        <v/>
      </c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7" t="str">
        <f t="shared" si="37"/>
        <v/>
      </c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7" t="str">
        <f t="shared" si="37"/>
        <v/>
      </c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7" t="str">
        <f t="shared" si="37"/>
        <v/>
      </c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7" t="str">
        <f t="shared" si="37"/>
        <v/>
      </c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7" t="str">
        <f t="shared" si="37"/>
        <v/>
      </c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7" t="str">
        <f t="shared" si="37"/>
        <v/>
      </c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7" t="str">
        <f t="shared" si="37"/>
        <v/>
      </c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7" t="str">
        <f t="shared" si="37"/>
        <v/>
      </c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7" t="str">
        <f t="shared" si="37"/>
        <v/>
      </c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7" t="str">
        <f t="shared" si="37"/>
        <v/>
      </c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7" t="str">
        <f t="shared" si="37"/>
        <v/>
      </c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7" t="str">
        <f t="shared" si="37"/>
        <v/>
      </c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7" t="str">
        <f t="shared" si="37"/>
        <v/>
      </c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7" t="str">
        <f t="shared" si="37"/>
        <v/>
      </c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7" t="str">
        <f t="shared" si="37"/>
        <v/>
      </c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7" t="str">
        <f t="shared" si="37"/>
        <v/>
      </c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7" t="str">
        <f t="shared" si="37"/>
        <v/>
      </c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7" t="str">
        <f t="shared" si="37"/>
        <v/>
      </c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7" t="str">
        <f t="shared" si="37"/>
        <v/>
      </c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7" t="str">
        <f t="shared" si="37"/>
        <v/>
      </c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7" t="str">
        <f t="shared" si="37"/>
        <v/>
      </c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7" t="str">
        <f t="shared" si="37"/>
        <v/>
      </c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7" t="str">
        <f t="shared" si="37"/>
        <v/>
      </c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7" t="str">
        <f t="shared" si="37"/>
        <v/>
      </c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7" t="str">
        <f t="shared" si="37"/>
        <v/>
      </c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7" t="str">
        <f t="shared" si="37"/>
        <v/>
      </c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7" t="str">
        <f t="shared" si="37"/>
        <v/>
      </c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7" t="str">
        <f t="shared" si="37"/>
        <v/>
      </c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7" t="str">
        <f t="shared" si="37"/>
        <v/>
      </c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7" t="str">
        <f t="shared" si="37"/>
        <v/>
      </c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7" t="str">
        <f t="shared" si="37"/>
        <v/>
      </c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7" t="str">
        <f t="shared" si="37"/>
        <v/>
      </c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7" t="str">
        <f t="shared" si="37"/>
        <v/>
      </c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7" t="str">
        <f t="shared" si="37"/>
        <v/>
      </c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7" t="str">
        <f t="shared" si="37"/>
        <v/>
      </c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7" t="str">
        <f t="shared" si="37"/>
        <v/>
      </c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7" t="str">
        <f t="shared" si="37"/>
        <v/>
      </c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7" t="str">
        <f t="shared" si="37"/>
        <v/>
      </c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7" t="str">
        <f t="shared" si="37"/>
        <v/>
      </c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7" t="str">
        <f t="shared" si="37"/>
        <v/>
      </c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7" t="str">
        <f t="shared" si="37"/>
        <v/>
      </c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7" t="str">
        <f t="shared" si="37"/>
        <v/>
      </c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7" t="str">
        <f t="shared" si="37"/>
        <v/>
      </c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7" t="str">
        <f t="shared" si="37"/>
        <v/>
      </c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7" t="str">
        <f t="shared" si="37"/>
        <v/>
      </c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7" t="str">
        <f t="shared" si="37"/>
        <v/>
      </c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7" t="str">
        <f t="shared" si="37"/>
        <v/>
      </c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7" t="str">
        <f t="shared" si="37"/>
        <v/>
      </c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7" t="str">
        <f t="shared" si="37"/>
        <v/>
      </c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7" t="str">
        <f t="shared" si="37"/>
        <v/>
      </c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7" t="str">
        <f t="shared" si="37"/>
        <v/>
      </c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7" t="str">
        <f t="shared" si="37"/>
        <v/>
      </c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7" t="str">
        <f t="shared" si="37"/>
        <v/>
      </c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7" t="str">
        <f t="shared" si="37"/>
        <v/>
      </c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7" t="str">
        <f t="shared" si="37"/>
        <v/>
      </c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7" t="str">
        <f t="shared" ref="J420:J483" si="38">IF(A420="","",IF(OR(B420="",C420="",D420="",E420="",F420="",G420="",H420="",I420=""),"需补充","正常"))</f>
        <v/>
      </c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7" t="str">
        <f t="shared" si="38"/>
        <v/>
      </c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7" t="str">
        <f t="shared" si="38"/>
        <v/>
      </c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7" t="str">
        <f t="shared" si="38"/>
        <v/>
      </c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7" t="str">
        <f t="shared" si="38"/>
        <v/>
      </c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7" t="str">
        <f t="shared" si="38"/>
        <v/>
      </c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7" t="str">
        <f t="shared" si="38"/>
        <v/>
      </c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7" t="str">
        <f t="shared" si="38"/>
        <v/>
      </c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7" t="str">
        <f t="shared" si="38"/>
        <v/>
      </c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7" t="str">
        <f t="shared" si="38"/>
        <v/>
      </c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7" t="str">
        <f t="shared" si="38"/>
        <v/>
      </c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7" t="str">
        <f t="shared" si="38"/>
        <v/>
      </c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7" t="str">
        <f t="shared" si="38"/>
        <v/>
      </c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7" t="str">
        <f t="shared" si="38"/>
        <v/>
      </c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7" t="str">
        <f t="shared" si="38"/>
        <v/>
      </c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7" t="str">
        <f t="shared" si="38"/>
        <v/>
      </c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7" t="str">
        <f t="shared" si="38"/>
        <v/>
      </c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7" t="str">
        <f t="shared" si="38"/>
        <v/>
      </c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7" t="str">
        <f t="shared" si="38"/>
        <v/>
      </c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7" t="str">
        <f t="shared" si="38"/>
        <v/>
      </c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7" t="str">
        <f t="shared" si="38"/>
        <v/>
      </c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7" t="str">
        <f t="shared" si="38"/>
        <v/>
      </c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7" t="str">
        <f t="shared" si="38"/>
        <v/>
      </c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7" t="str">
        <f t="shared" si="38"/>
        <v/>
      </c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7" t="str">
        <f t="shared" si="38"/>
        <v/>
      </c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7" t="str">
        <f t="shared" si="38"/>
        <v/>
      </c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7" t="str">
        <f t="shared" si="38"/>
        <v/>
      </c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7" t="str">
        <f t="shared" si="38"/>
        <v/>
      </c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7" t="str">
        <f t="shared" si="38"/>
        <v/>
      </c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7" t="str">
        <f t="shared" si="38"/>
        <v/>
      </c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7" t="str">
        <f t="shared" si="38"/>
        <v/>
      </c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7" t="str">
        <f t="shared" si="38"/>
        <v/>
      </c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7" t="str">
        <f t="shared" si="38"/>
        <v/>
      </c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7" t="str">
        <f t="shared" si="38"/>
        <v/>
      </c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7" t="str">
        <f t="shared" si="38"/>
        <v/>
      </c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7" t="str">
        <f t="shared" si="38"/>
        <v/>
      </c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7" t="str">
        <f t="shared" si="38"/>
        <v/>
      </c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7" t="str">
        <f t="shared" si="38"/>
        <v/>
      </c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7" t="str">
        <f t="shared" si="38"/>
        <v/>
      </c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7" t="str">
        <f t="shared" si="38"/>
        <v/>
      </c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7" t="str">
        <f t="shared" si="38"/>
        <v/>
      </c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7" t="str">
        <f t="shared" si="38"/>
        <v/>
      </c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7" t="str">
        <f t="shared" si="38"/>
        <v/>
      </c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7" t="str">
        <f t="shared" si="38"/>
        <v/>
      </c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7" t="str">
        <f t="shared" si="38"/>
        <v/>
      </c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7" t="str">
        <f t="shared" si="38"/>
        <v/>
      </c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7" t="str">
        <f t="shared" si="38"/>
        <v/>
      </c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7" t="str">
        <f t="shared" si="38"/>
        <v/>
      </c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7" t="str">
        <f t="shared" si="38"/>
        <v/>
      </c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7" t="str">
        <f t="shared" si="38"/>
        <v/>
      </c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7" t="str">
        <f t="shared" si="38"/>
        <v/>
      </c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7" t="str">
        <f t="shared" si="38"/>
        <v/>
      </c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7" t="str">
        <f t="shared" si="38"/>
        <v/>
      </c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7" t="str">
        <f t="shared" si="38"/>
        <v/>
      </c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7" t="str">
        <f t="shared" si="38"/>
        <v/>
      </c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7" t="str">
        <f t="shared" si="38"/>
        <v/>
      </c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7" t="str">
        <f t="shared" si="38"/>
        <v/>
      </c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7" t="str">
        <f t="shared" si="38"/>
        <v/>
      </c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7" t="str">
        <f t="shared" si="38"/>
        <v/>
      </c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7" t="str">
        <f t="shared" si="38"/>
        <v/>
      </c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7" t="str">
        <f t="shared" si="38"/>
        <v/>
      </c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7" t="str">
        <f t="shared" si="38"/>
        <v/>
      </c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7" t="str">
        <f t="shared" si="38"/>
        <v/>
      </c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7" t="str">
        <f t="shared" si="38"/>
        <v/>
      </c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7" t="str">
        <f t="shared" ref="J484:J501" si="39">IF(A484="","",IF(OR(B484="",C484="",D484="",E484="",F484="",G484="",H484="",I484=""),"需补充","正常"))</f>
        <v/>
      </c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7" t="str">
        <f t="shared" si="39"/>
        <v/>
      </c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7" t="str">
        <f t="shared" si="39"/>
        <v/>
      </c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7" t="str">
        <f t="shared" si="39"/>
        <v/>
      </c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7" t="str">
        <f t="shared" si="39"/>
        <v/>
      </c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7" t="str">
        <f t="shared" si="39"/>
        <v/>
      </c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7" t="str">
        <f t="shared" si="39"/>
        <v/>
      </c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7" t="str">
        <f t="shared" si="39"/>
        <v/>
      </c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7" t="str">
        <f t="shared" si="39"/>
        <v/>
      </c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7" t="str">
        <f t="shared" si="39"/>
        <v/>
      </c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7" t="str">
        <f t="shared" si="39"/>
        <v/>
      </c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7" t="str">
        <f t="shared" si="39"/>
        <v/>
      </c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7" t="str">
        <f t="shared" si="39"/>
        <v/>
      </c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7" t="str">
        <f t="shared" si="39"/>
        <v/>
      </c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7" t="str">
        <f t="shared" si="39"/>
        <v/>
      </c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7" t="str">
        <f t="shared" si="39"/>
        <v/>
      </c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7" t="str">
        <f t="shared" si="39"/>
        <v/>
      </c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7" t="str">
        <f t="shared" si="39"/>
        <v/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正常" id="{7994D452-D4B3-4327-A420-80390CDF2FA7}">
            <x14:dxf>
              <font>
                <b/>
                <color rgb="FF256029"/>
              </font>
              <fill>
                <patternFill patternType="solid">
                  <fgColor rgb="FFE2F0D9"/>
                  <bgColor rgb="FFE2F0D9"/>
                </patternFill>
              </fill>
            </x14:dxf>
          </x14:cfRule>
          <xm:sqref>J2:J501</xm:sqref>
        </x14:conditionalFormatting>
        <x14:conditionalFormatting xmlns:xm="http://schemas.microsoft.com/office/excel/2006/main">
          <x14:cfRule type="containsText" priority="2" operator="containsText" text="待冻结" id="{BE0F379B-039E-41CA-84A9-09A2071F185A}">
            <x14:dxf>
              <font>
                <b/>
                <color rgb="FF8A4B08"/>
              </font>
              <fill>
                <patternFill patternType="solid">
                  <fgColor rgb="FFFFF4CC"/>
                  <bgColor rgb="FFFFF4CC"/>
                </patternFill>
              </fill>
            </x14:dxf>
          </x14:cfRule>
          <xm:sqref>J2:J501</xm:sqref>
        </x14:conditionalFormatting>
        <x14:conditionalFormatting xmlns:xm="http://schemas.microsoft.com/office/excel/2006/main">
          <x14:cfRule type="containsText" priority="3" operator="containsText" text="需" id="{7EE4BEA8-FE47-446F-A092-D8021F3F9B69}">
            <x14:dxf>
              <font>
                <b/>
                <color rgb="FFB42318"/>
              </font>
              <fill>
                <patternFill patternType="solid">
                  <fgColor rgb="FFFCE8E6"/>
                  <bgColor rgb="FFFCE8E6"/>
                </patternFill>
              </fill>
            </x14:dxf>
          </x14:cfRule>
          <xm:sqref>J2:J501</xm:sqref>
        </x14:conditionalFormatting>
        <x14:conditionalFormatting xmlns:xm="http://schemas.microsoft.com/office/excel/2006/main">
          <x14:cfRule type="containsText" priority="4" operator="containsText" text="禁止" id="{AE52113F-E678-43B0-8DE0-D2789A2DD321}">
            <x14:dxf>
              <font>
                <b/>
                <color rgb="FFB42318"/>
              </font>
              <fill>
                <patternFill patternType="solid">
                  <fgColor rgb="FFFCE8E6"/>
                  <bgColor rgb="FFFCE8E6"/>
                </patternFill>
              </fill>
            </x14:dxf>
          </x14:cfRule>
          <xm:sqref>J2:J501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A2F9C41E-3ABD-4293-A2AB-92FD993605BE}" type="list" allowBlank="0" errorStyle="stop" imeMode="noControl" operator="between" showDropDown="0" showErrorMessage="0" showInputMessage="0">
          <x14:formula1>
            <xm:f>"核心证据,支持证据,张力证据,反例证据"</xm:f>
          </x14:formula1>
          <xm:sqref>F2:F501</xm:sqref>
        </x14:dataValidation>
        <x14:dataValidation xr:uid="{03898ABE-F293-4758-9A19-71AC37053399}" type="list" allowBlank="0" errorStyle="stop" imeMode="noControl" operator="between" showDropDown="0" showErrorMessage="0" showInputMessage="0">
          <x14:formula1>
            <xm:f>"正常,需补充"</xm:f>
          </x14:formula1>
          <xm:sqref>J2:J501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3" width="16"/>
    <col customWidth="1" min="4" max="4" width="20"/>
    <col customWidth="1" min="5" max="11" width="18"/>
    <col customWidth="1" min="12" max="12" width="40"/>
    <col customWidth="1" min="13" max="13" width="16"/>
    <col customWidth="1" min="14" max="14" width="38"/>
    <col customWidth="1" min="15" max="15" width="24"/>
    <col customWidth="1" min="16" max="16" width="16"/>
  </cols>
  <sheetData>
    <row r="1" ht="38" customHeight="1">
      <c r="A1" s="25" t="s">
        <v>179</v>
      </c>
      <c r="B1" s="25" t="s">
        <v>156</v>
      </c>
      <c r="C1" s="25" t="s">
        <v>180</v>
      </c>
      <c r="D1" s="25" t="s">
        <v>181</v>
      </c>
      <c r="E1" s="25" t="s">
        <v>111</v>
      </c>
      <c r="F1" s="25" t="s">
        <v>182</v>
      </c>
      <c r="G1" s="25" t="s">
        <v>183</v>
      </c>
      <c r="H1" s="25" t="s">
        <v>184</v>
      </c>
      <c r="I1" s="25" t="s">
        <v>185</v>
      </c>
      <c r="J1" s="25" t="s">
        <v>186</v>
      </c>
      <c r="K1" s="25" t="s">
        <v>187</v>
      </c>
      <c r="L1" s="25" t="s">
        <v>188</v>
      </c>
      <c r="M1" s="25" t="s">
        <v>189</v>
      </c>
      <c r="N1" s="25" t="s">
        <v>190</v>
      </c>
      <c r="O1" s="25" t="s">
        <v>191</v>
      </c>
      <c r="P1" s="25" t="s">
        <v>112</v>
      </c>
    </row>
    <row r="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7" t="str">
        <f t="shared" ref="P2:P9" si="40">IF(A2="","",IF(OR(B2="",C2="",D2="",E2="",F2="",G2="",H2="",I2="",J2="",K2="",L2="",M2="",N2="",O2=""),"需补充",IF(COUNTIF(F2:K2,"未通过")&gt;0,"需处理",IF(COUNTIF(F2:K2,"需修订")&gt;0,"需修订","正常"))))</f>
        <v/>
      </c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7" t="str">
        <f t="shared" si="40"/>
        <v/>
      </c>
    </row>
    <row r="4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7" t="str">
        <f t="shared" si="40"/>
        <v/>
      </c>
    </row>
    <row r="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7" t="str">
        <f t="shared" si="40"/>
        <v/>
      </c>
    </row>
    <row r="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7" t="str">
        <f t="shared" si="40"/>
        <v/>
      </c>
    </row>
    <row r="7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7" t="str">
        <f t="shared" si="40"/>
        <v/>
      </c>
    </row>
    <row r="8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7" t="str">
        <f t="shared" si="40"/>
        <v/>
      </c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7" t="str">
        <f t="shared" si="40"/>
        <v/>
      </c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7" t="str">
        <f t="shared" ref="P10:P73" si="41">IF(A10="","",IF(OR(B10="",C10="",D10="",E10="",F10="",G10="",H10="",I10="",J10="",K10="",L10="",M10="",N10="",O10=""),"需补充",IF(COUNTIF(F10:K10,"未通过")&gt;0,"需处理",IF(COUNTIF(F10:K10,"需修订")&gt;0,"需修订","正常"))))</f>
        <v/>
      </c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7" t="str">
        <f t="shared" si="41"/>
        <v/>
      </c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 t="str">
        <f t="shared" si="41"/>
        <v/>
      </c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 t="str">
        <f t="shared" si="41"/>
        <v/>
      </c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 t="str">
        <f t="shared" si="41"/>
        <v/>
      </c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 t="str">
        <f t="shared" si="41"/>
        <v/>
      </c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 t="str">
        <f t="shared" si="41"/>
        <v/>
      </c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 t="str">
        <f t="shared" si="41"/>
        <v/>
      </c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 t="str">
        <f t="shared" si="41"/>
        <v/>
      </c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 t="str">
        <f t="shared" si="41"/>
        <v/>
      </c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 t="str">
        <f t="shared" si="41"/>
        <v/>
      </c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7" t="str">
        <f t="shared" si="41"/>
        <v/>
      </c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7" t="str">
        <f t="shared" si="41"/>
        <v/>
      </c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7" t="str">
        <f t="shared" si="41"/>
        <v/>
      </c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7" t="str">
        <f t="shared" si="41"/>
        <v/>
      </c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7" t="str">
        <f t="shared" si="41"/>
        <v/>
      </c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7" t="str">
        <f t="shared" si="41"/>
        <v/>
      </c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7" t="str">
        <f t="shared" si="41"/>
        <v/>
      </c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7" t="str">
        <f t="shared" si="41"/>
        <v/>
      </c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7" t="str">
        <f t="shared" si="41"/>
        <v/>
      </c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7" t="str">
        <f t="shared" si="41"/>
        <v/>
      </c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7" t="str">
        <f t="shared" si="41"/>
        <v/>
      </c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7" t="str">
        <f t="shared" si="41"/>
        <v/>
      </c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7" t="str">
        <f t="shared" si="41"/>
        <v/>
      </c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7" t="str">
        <f t="shared" si="41"/>
        <v/>
      </c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7" t="str">
        <f t="shared" si="41"/>
        <v/>
      </c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7" t="str">
        <f t="shared" si="41"/>
        <v/>
      </c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7" t="str">
        <f t="shared" si="41"/>
        <v/>
      </c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7" t="str">
        <f t="shared" si="41"/>
        <v/>
      </c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7" t="str">
        <f t="shared" si="41"/>
        <v/>
      </c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7" t="str">
        <f t="shared" si="41"/>
        <v/>
      </c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7" t="str">
        <f t="shared" si="41"/>
        <v/>
      </c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7" t="str">
        <f t="shared" si="41"/>
        <v/>
      </c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7" t="str">
        <f t="shared" si="41"/>
        <v/>
      </c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7" t="str">
        <f t="shared" si="41"/>
        <v/>
      </c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7" t="str">
        <f t="shared" si="41"/>
        <v/>
      </c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7" t="str">
        <f t="shared" si="41"/>
        <v/>
      </c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7" t="str">
        <f t="shared" si="41"/>
        <v/>
      </c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7" t="str">
        <f t="shared" si="41"/>
        <v/>
      </c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7" t="str">
        <f t="shared" si="41"/>
        <v/>
      </c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7" t="str">
        <f t="shared" si="41"/>
        <v/>
      </c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7" t="str">
        <f t="shared" si="41"/>
        <v/>
      </c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7" t="str">
        <f t="shared" si="41"/>
        <v/>
      </c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7" t="str">
        <f t="shared" si="41"/>
        <v/>
      </c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7" t="str">
        <f t="shared" si="41"/>
        <v/>
      </c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7" t="str">
        <f t="shared" si="41"/>
        <v/>
      </c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7" t="str">
        <f t="shared" si="41"/>
        <v/>
      </c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7" t="str">
        <f t="shared" si="41"/>
        <v/>
      </c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7" t="str">
        <f t="shared" si="41"/>
        <v/>
      </c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7" t="str">
        <f t="shared" si="41"/>
        <v/>
      </c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7" t="str">
        <f t="shared" si="41"/>
        <v/>
      </c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7" t="str">
        <f t="shared" si="41"/>
        <v/>
      </c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7" t="str">
        <f t="shared" si="41"/>
        <v/>
      </c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7" t="str">
        <f t="shared" si="41"/>
        <v/>
      </c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7" t="str">
        <f t="shared" si="41"/>
        <v/>
      </c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7" t="str">
        <f t="shared" si="41"/>
        <v/>
      </c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7" t="str">
        <f t="shared" si="41"/>
        <v/>
      </c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7" t="str">
        <f t="shared" si="41"/>
        <v/>
      </c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7" t="str">
        <f t="shared" si="41"/>
        <v/>
      </c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7" t="str">
        <f t="shared" si="41"/>
        <v/>
      </c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7" t="str">
        <f t="shared" si="41"/>
        <v/>
      </c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7" t="str">
        <f t="shared" si="41"/>
        <v/>
      </c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7" t="str">
        <f t="shared" si="41"/>
        <v/>
      </c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7" t="str">
        <f t="shared" si="41"/>
        <v/>
      </c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7" t="str">
        <f t="shared" ref="P74:P99" si="42">IF(A74="","",IF(OR(B74="",C74="",D74="",E74="",F74="",G74="",H74="",I74="",J74="",K74="",L74="",M74="",N74="",O74=""),"需补充",IF(COUNTIF(F74:K74,"未通过")&gt;0,"需处理",IF(COUNTIF(F74:K74,"需修订")&gt;0,"需修订","正常"))))</f>
        <v/>
      </c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7" t="str">
        <f t="shared" si="42"/>
        <v/>
      </c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7" t="str">
        <f t="shared" si="42"/>
        <v/>
      </c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7" t="str">
        <f t="shared" si="42"/>
        <v/>
      </c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7" t="str">
        <f t="shared" si="42"/>
        <v/>
      </c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7" t="str">
        <f t="shared" si="42"/>
        <v/>
      </c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7" t="str">
        <f t="shared" si="42"/>
        <v/>
      </c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7" t="str">
        <f t="shared" si="42"/>
        <v/>
      </c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7" t="str">
        <f t="shared" si="42"/>
        <v/>
      </c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7" t="str">
        <f t="shared" si="42"/>
        <v/>
      </c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7" t="str">
        <f t="shared" si="42"/>
        <v/>
      </c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7" t="str">
        <f t="shared" si="42"/>
        <v/>
      </c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7" t="str">
        <f t="shared" si="42"/>
        <v/>
      </c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7" t="str">
        <f t="shared" si="42"/>
        <v/>
      </c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7" t="str">
        <f t="shared" si="42"/>
        <v/>
      </c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7" t="str">
        <f t="shared" si="42"/>
        <v/>
      </c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7" t="str">
        <f t="shared" si="42"/>
        <v/>
      </c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7" t="str">
        <f t="shared" si="42"/>
        <v/>
      </c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7" t="str">
        <f t="shared" si="42"/>
        <v/>
      </c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7" t="str">
        <f t="shared" si="42"/>
        <v/>
      </c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7" t="str">
        <f t="shared" si="42"/>
        <v/>
      </c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7" t="str">
        <f t="shared" si="42"/>
        <v/>
      </c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7" t="str">
        <f t="shared" si="42"/>
        <v/>
      </c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7" t="str">
        <f t="shared" si="42"/>
        <v/>
      </c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7" t="str">
        <f t="shared" si="42"/>
        <v/>
      </c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7" t="str">
        <f t="shared" si="42"/>
        <v/>
      </c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7" t="str">
        <f t="shared" ref="P100:P163" si="43">IF(A100="","",IF(OR(B100="",C100="",D100="",E100="",F100="",G100="",H100="",I100="",J100="",K100="",L100="",M100="",N100="",O100=""),"需补充",IF(COUNTIF(F100:K100,"未通过")&gt;0,"需处理",IF(COUNTIF(F100:K100,"需修订")&gt;0,"需修订","正常"))))</f>
        <v/>
      </c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7" t="str">
        <f t="shared" si="43"/>
        <v/>
      </c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7" t="str">
        <f t="shared" si="43"/>
        <v/>
      </c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7" t="str">
        <f t="shared" si="43"/>
        <v/>
      </c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7" t="str">
        <f t="shared" si="43"/>
        <v/>
      </c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7" t="str">
        <f t="shared" si="43"/>
        <v/>
      </c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7" t="str">
        <f t="shared" si="43"/>
        <v/>
      </c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7" t="str">
        <f t="shared" si="43"/>
        <v/>
      </c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7" t="str">
        <f t="shared" si="43"/>
        <v/>
      </c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7" t="str">
        <f t="shared" si="43"/>
        <v/>
      </c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7" t="str">
        <f t="shared" si="43"/>
        <v/>
      </c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7" t="str">
        <f t="shared" si="43"/>
        <v/>
      </c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7" t="str">
        <f t="shared" si="43"/>
        <v/>
      </c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7" t="str">
        <f t="shared" si="43"/>
        <v/>
      </c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7" t="str">
        <f t="shared" si="43"/>
        <v/>
      </c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7" t="str">
        <f t="shared" si="43"/>
        <v/>
      </c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7" t="str">
        <f t="shared" si="43"/>
        <v/>
      </c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7" t="str">
        <f t="shared" si="43"/>
        <v/>
      </c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7" t="str">
        <f t="shared" si="43"/>
        <v/>
      </c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7" t="str">
        <f t="shared" si="43"/>
        <v/>
      </c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7" t="str">
        <f t="shared" si="43"/>
        <v/>
      </c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7" t="str">
        <f t="shared" si="43"/>
        <v/>
      </c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7" t="str">
        <f t="shared" si="43"/>
        <v/>
      </c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7" t="str">
        <f t="shared" si="43"/>
        <v/>
      </c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7" t="str">
        <f t="shared" si="43"/>
        <v/>
      </c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7" t="str">
        <f t="shared" si="43"/>
        <v/>
      </c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7" t="str">
        <f t="shared" si="43"/>
        <v/>
      </c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7" t="str">
        <f t="shared" si="43"/>
        <v/>
      </c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7" t="str">
        <f t="shared" si="43"/>
        <v/>
      </c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7" t="str">
        <f t="shared" si="43"/>
        <v/>
      </c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7" t="str">
        <f t="shared" si="43"/>
        <v/>
      </c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7" t="str">
        <f t="shared" si="43"/>
        <v/>
      </c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7" t="str">
        <f t="shared" si="43"/>
        <v/>
      </c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7" t="str">
        <f t="shared" si="43"/>
        <v/>
      </c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7" t="str">
        <f t="shared" si="43"/>
        <v/>
      </c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7" t="str">
        <f t="shared" si="43"/>
        <v/>
      </c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7" t="str">
        <f t="shared" si="43"/>
        <v/>
      </c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7" t="str">
        <f t="shared" si="43"/>
        <v/>
      </c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7" t="str">
        <f t="shared" si="43"/>
        <v/>
      </c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7" t="str">
        <f t="shared" si="43"/>
        <v/>
      </c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7" t="str">
        <f t="shared" si="43"/>
        <v/>
      </c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7" t="str">
        <f t="shared" si="43"/>
        <v/>
      </c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7" t="str">
        <f t="shared" si="43"/>
        <v/>
      </c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7" t="str">
        <f t="shared" si="43"/>
        <v/>
      </c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7" t="str">
        <f t="shared" si="43"/>
        <v/>
      </c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7" t="str">
        <f t="shared" si="43"/>
        <v/>
      </c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7" t="str">
        <f t="shared" si="43"/>
        <v/>
      </c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7" t="str">
        <f t="shared" si="43"/>
        <v/>
      </c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7" t="str">
        <f t="shared" si="43"/>
        <v/>
      </c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7" t="str">
        <f t="shared" si="43"/>
        <v/>
      </c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7" t="str">
        <f t="shared" si="43"/>
        <v/>
      </c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7" t="str">
        <f t="shared" si="43"/>
        <v/>
      </c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7" t="str">
        <f t="shared" si="43"/>
        <v/>
      </c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7" t="str">
        <f t="shared" si="43"/>
        <v/>
      </c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7" t="str">
        <f t="shared" si="43"/>
        <v/>
      </c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7" t="str">
        <f t="shared" si="43"/>
        <v/>
      </c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7" t="str">
        <f t="shared" si="43"/>
        <v/>
      </c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7" t="str">
        <f t="shared" si="43"/>
        <v/>
      </c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7" t="str">
        <f t="shared" si="43"/>
        <v/>
      </c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7" t="str">
        <f t="shared" si="43"/>
        <v/>
      </c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7" t="str">
        <f t="shared" si="43"/>
        <v/>
      </c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7" t="str">
        <f t="shared" si="43"/>
        <v/>
      </c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7" t="str">
        <f t="shared" si="43"/>
        <v/>
      </c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7" t="str">
        <f t="shared" si="43"/>
        <v/>
      </c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7" t="str">
        <f t="shared" ref="P164:P201" si="44">IF(A164="","",IF(OR(B164="",C164="",D164="",E164="",F164="",G164="",H164="",I164="",J164="",K164="",L164="",M164="",N164="",O164=""),"需补充",IF(COUNTIF(F164:K164,"未通过")&gt;0,"需处理",IF(COUNTIF(F164:K164,"需修订")&gt;0,"需修订","正常"))))</f>
        <v/>
      </c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7" t="str">
        <f t="shared" si="44"/>
        <v/>
      </c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7" t="str">
        <f t="shared" si="44"/>
        <v/>
      </c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7" t="str">
        <f t="shared" si="44"/>
        <v/>
      </c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7" t="str">
        <f t="shared" si="44"/>
        <v/>
      </c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7" t="str">
        <f t="shared" si="44"/>
        <v/>
      </c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7" t="str">
        <f t="shared" si="44"/>
        <v/>
      </c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7" t="str">
        <f t="shared" si="44"/>
        <v/>
      </c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7" t="str">
        <f t="shared" si="44"/>
        <v/>
      </c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7" t="str">
        <f t="shared" si="44"/>
        <v/>
      </c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7" t="str">
        <f t="shared" si="44"/>
        <v/>
      </c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7" t="str">
        <f t="shared" si="44"/>
        <v/>
      </c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7" t="str">
        <f t="shared" si="44"/>
        <v/>
      </c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7" t="str">
        <f t="shared" si="44"/>
        <v/>
      </c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7" t="str">
        <f t="shared" si="44"/>
        <v/>
      </c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7" t="str">
        <f t="shared" si="44"/>
        <v/>
      </c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7" t="str">
        <f t="shared" si="44"/>
        <v/>
      </c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7" t="str">
        <f t="shared" si="44"/>
        <v/>
      </c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7" t="str">
        <f t="shared" si="44"/>
        <v/>
      </c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7" t="str">
        <f t="shared" si="44"/>
        <v/>
      </c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7" t="str">
        <f t="shared" si="44"/>
        <v/>
      </c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7" t="str">
        <f t="shared" si="44"/>
        <v/>
      </c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7" t="str">
        <f t="shared" si="44"/>
        <v/>
      </c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7" t="str">
        <f t="shared" si="44"/>
        <v/>
      </c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7" t="str">
        <f t="shared" si="44"/>
        <v/>
      </c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7" t="str">
        <f t="shared" si="44"/>
        <v/>
      </c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7" t="str">
        <f t="shared" si="44"/>
        <v/>
      </c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7" t="str">
        <f t="shared" si="44"/>
        <v/>
      </c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7" t="str">
        <f t="shared" si="44"/>
        <v/>
      </c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7" t="str">
        <f t="shared" si="44"/>
        <v/>
      </c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7" t="str">
        <f t="shared" si="44"/>
        <v/>
      </c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7" t="str">
        <f t="shared" si="44"/>
        <v/>
      </c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7" t="str">
        <f t="shared" si="44"/>
        <v/>
      </c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7" t="str">
        <f t="shared" si="44"/>
        <v/>
      </c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7" t="str">
        <f t="shared" si="44"/>
        <v/>
      </c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7" t="str">
        <f t="shared" si="44"/>
        <v/>
      </c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7" t="str">
        <f t="shared" si="44"/>
        <v/>
      </c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7" t="str">
        <f t="shared" si="44"/>
        <v/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正常" id="{0D8CAA11-19AD-4951-8C8F-433AF4D97E64}">
            <x14:dxf>
              <font>
                <b/>
                <color rgb="FF256029"/>
              </font>
              <fill>
                <patternFill patternType="solid">
                  <fgColor rgb="FFE2F0D9"/>
                  <bgColor rgb="FFE2F0D9"/>
                </patternFill>
              </fill>
            </x14:dxf>
          </x14:cfRule>
          <xm:sqref>P2:P201</xm:sqref>
        </x14:conditionalFormatting>
        <x14:conditionalFormatting xmlns:xm="http://schemas.microsoft.com/office/excel/2006/main">
          <x14:cfRule type="containsText" priority="2" operator="containsText" text="待冻结" id="{705C1137-B7DE-4D60-82C4-5A1D94A4B3F9}">
            <x14:dxf>
              <font>
                <b/>
                <color rgb="FF8A4B08"/>
              </font>
              <fill>
                <patternFill patternType="solid">
                  <fgColor rgb="FFFFF4CC"/>
                  <bgColor rgb="FFFFF4CC"/>
                </patternFill>
              </fill>
            </x14:dxf>
          </x14:cfRule>
          <xm:sqref>P2:P201</xm:sqref>
        </x14:conditionalFormatting>
        <x14:conditionalFormatting xmlns:xm="http://schemas.microsoft.com/office/excel/2006/main">
          <x14:cfRule type="containsText" priority="3" operator="containsText" text="需" id="{DC92E260-3FFE-43E7-BBD8-5B51007407F3}">
            <x14:dxf>
              <font>
                <b/>
                <color rgb="FFB42318"/>
              </font>
              <fill>
                <patternFill patternType="solid">
                  <fgColor rgb="FFFCE8E6"/>
                  <bgColor rgb="FFFCE8E6"/>
                </patternFill>
              </fill>
            </x14:dxf>
          </x14:cfRule>
          <xm:sqref>P2:P201</xm:sqref>
        </x14:conditionalFormatting>
        <x14:conditionalFormatting xmlns:xm="http://schemas.microsoft.com/office/excel/2006/main">
          <x14:cfRule type="containsText" priority="4" operator="containsText" text="禁止" id="{CD9E0AC2-A1B4-4D1E-87F0-366D5452ADB7}">
            <x14:dxf>
              <font>
                <b/>
                <color rgb="FFB42318"/>
              </font>
              <fill>
                <patternFill patternType="solid">
                  <fgColor rgb="FFFCE8E6"/>
                  <bgColor rgb="FFFCE8E6"/>
                </patternFill>
              </fill>
            </x14:dxf>
          </x14:cfRule>
          <xm:sqref>P2:P201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9" disablePrompts="0">
        <x14:dataValidation xr:uid="{E8038E77-F7F9-4A72-9FD6-0CCA49979791}" type="list" allowBlank="0" errorStyle="stop" imeMode="noControl" operator="between" showDropDown="0" showErrorMessage="0" showInputMessage="0">
          <x14:formula1>
            <xm:f>"主题内,全子语料,同侪挑战"</xm:f>
          </x14:formula1>
          <xm:sqref>D2:D201</xm:sqref>
        </x14:dataValidation>
        <x14:dataValidation xr:uid="{50CF6453-10A5-4EF8-A648-AA667474C4FC}" type="list" allowBlank="0" errorStyle="stop" imeMode="noControl" operator="between" showDropDown="0" showErrorMessage="0" showInputMessage="0">
          <x14:formula1>
            <xm:f>"通过,需修订,未通过,不适用"</xm:f>
          </x14:formula1>
          <xm:sqref>F2:F201</xm:sqref>
        </x14:dataValidation>
        <x14:dataValidation xr:uid="{95098A02-79B5-46AC-81A1-FACB25AC4820}" type="list" allowBlank="0" errorStyle="stop" imeMode="noControl" operator="between" showDropDown="0" showErrorMessage="0" showInputMessage="0">
          <x14:formula1>
            <xm:f>"通过,需修订,未通过,不适用"</xm:f>
          </x14:formula1>
          <xm:sqref>G2:G201</xm:sqref>
        </x14:dataValidation>
        <x14:dataValidation xr:uid="{54F649F1-25B0-4343-8AA0-D3A4213F8AAD}" type="list" allowBlank="0" errorStyle="stop" imeMode="noControl" operator="between" showDropDown="0" showErrorMessage="0" showInputMessage="0">
          <x14:formula1>
            <xm:f>"通过,需修订,未通过,不适用"</xm:f>
          </x14:formula1>
          <xm:sqref>H2:H201</xm:sqref>
        </x14:dataValidation>
        <x14:dataValidation xr:uid="{DB527AB8-5E5F-4E8C-9D97-53C04571948C}" type="list" allowBlank="0" errorStyle="stop" imeMode="noControl" operator="between" showDropDown="0" showErrorMessage="0" showInputMessage="0">
          <x14:formula1>
            <xm:f>"通过,需修订,未通过,不适用"</xm:f>
          </x14:formula1>
          <xm:sqref>I2:I201</xm:sqref>
        </x14:dataValidation>
        <x14:dataValidation xr:uid="{70FDE436-0D56-45D7-A228-4076261E8DEB}" type="list" allowBlank="0" errorStyle="stop" imeMode="noControl" operator="between" showDropDown="0" showErrorMessage="0" showInputMessage="0">
          <x14:formula1>
            <xm:f>"通过,需修订,未通过,不适用"</xm:f>
          </x14:formula1>
          <xm:sqref>J2:J201</xm:sqref>
        </x14:dataValidation>
        <x14:dataValidation xr:uid="{9F1CDCE6-35AD-413C-A152-9E6DBB93DCAE}" type="list" allowBlank="0" errorStyle="stop" imeMode="noControl" operator="between" showDropDown="0" showErrorMessage="0" showInputMessage="0">
          <x14:formula1>
            <xm:f>"通过,需修订,未通过,不适用"</xm:f>
          </x14:formula1>
          <xm:sqref>K2:K201</xm:sqref>
        </x14:dataValidation>
        <x14:dataValidation xr:uid="{2FBB3B4D-76F9-4649-B807-7D9968B4E973}" type="list" allowBlank="0" errorStyle="stop" imeMode="noControl" operator="between" showDropDown="0" showErrorMessage="0" showInputMessage="0">
          <x14:formula1>
            <xm:f>"保留,需修订,合并,已拆分,删除"</xm:f>
          </x14:formula1>
          <xm:sqref>M2:M201</xm:sqref>
        </x14:dataValidation>
        <x14:dataValidation xr:uid="{CE0E2514-4321-4593-AFCD-5BA56C146E58}" type="list" allowBlank="0" errorStyle="stop" imeMode="noControl" operator="between" showDropDown="0" showErrorMessage="0" showInputMessage="0">
          <x14:formula1>
            <xm:f>"正常,需补充,需修订,需处理"</xm:f>
          </x14:formula1>
          <xm:sqref>P2:P201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2" width="16"/>
    <col customWidth="1" min="3" max="3" width="22"/>
    <col customWidth="1" min="4" max="4" width="20"/>
    <col customWidth="1" min="5" max="5" width="18"/>
    <col customWidth="1" min="6" max="6" width="42"/>
    <col customWidth="1" min="7" max="8" width="40"/>
    <col customWidth="1" min="9" max="9" width="36"/>
    <col customWidth="1" min="10" max="10" width="38"/>
    <col customWidth="1" min="11" max="11" width="20"/>
    <col customWidth="1" min="12" max="12" width="24"/>
    <col customWidth="1" min="13" max="13" width="16"/>
  </cols>
  <sheetData>
    <row r="1" ht="38" customHeight="1">
      <c r="A1" s="25" t="s">
        <v>192</v>
      </c>
      <c r="B1" s="25" t="s">
        <v>114</v>
      </c>
      <c r="C1" s="25" t="s">
        <v>193</v>
      </c>
      <c r="D1" s="25" t="s">
        <v>194</v>
      </c>
      <c r="E1" s="25" t="s">
        <v>195</v>
      </c>
      <c r="F1" s="25" t="s">
        <v>196</v>
      </c>
      <c r="G1" s="25" t="s">
        <v>197</v>
      </c>
      <c r="H1" s="25" t="s">
        <v>188</v>
      </c>
      <c r="I1" s="25" t="s">
        <v>198</v>
      </c>
      <c r="J1" s="25" t="s">
        <v>199</v>
      </c>
      <c r="K1" s="25" t="s">
        <v>200</v>
      </c>
      <c r="L1" s="25" t="s">
        <v>126</v>
      </c>
      <c r="M1" s="25" t="s">
        <v>112</v>
      </c>
    </row>
    <row r="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7" t="str">
        <f t="shared" ref="M2:M9" si="45">IF(A2="","",IF(OR(B2="",C2="",D2="",F2="",G2="",H2="",J2="",L2=""),"需补充",IF(AND(D2&lt;&gt;"一般",E2=""),"需补充","正常")))</f>
        <v/>
      </c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7" t="str">
        <f t="shared" si="45"/>
        <v/>
      </c>
    </row>
    <row r="4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7" t="str">
        <f t="shared" si="45"/>
        <v/>
      </c>
    </row>
    <row r="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7" t="str">
        <f t="shared" si="45"/>
        <v/>
      </c>
    </row>
    <row r="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7" t="str">
        <f t="shared" si="45"/>
        <v/>
      </c>
    </row>
    <row r="7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tr">
        <f t="shared" si="45"/>
        <v/>
      </c>
    </row>
    <row r="8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7" t="str">
        <f t="shared" si="45"/>
        <v/>
      </c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7" t="str">
        <f t="shared" si="45"/>
        <v/>
      </c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7" t="str">
        <f t="shared" ref="M10:M73" si="46">IF(A10="","",IF(OR(B10="",C10="",D10="",F10="",G10="",H10="",J10="",L10=""),"需补充",IF(AND(D10&lt;&gt;"一般",E10=""),"需补充","正常")))</f>
        <v/>
      </c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7" t="str">
        <f t="shared" si="46"/>
        <v/>
      </c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7" t="str">
        <f t="shared" si="46"/>
        <v/>
      </c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7" t="str">
        <f t="shared" si="46"/>
        <v/>
      </c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7" t="str">
        <f t="shared" si="46"/>
        <v/>
      </c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7" t="str">
        <f t="shared" si="46"/>
        <v/>
      </c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7" t="str">
        <f t="shared" si="46"/>
        <v/>
      </c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7" t="str">
        <f t="shared" si="46"/>
        <v/>
      </c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7" t="str">
        <f t="shared" si="46"/>
        <v/>
      </c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7" t="str">
        <f t="shared" si="46"/>
        <v/>
      </c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7" t="str">
        <f t="shared" si="46"/>
        <v/>
      </c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7" t="str">
        <f t="shared" si="46"/>
        <v/>
      </c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7" t="str">
        <f t="shared" si="46"/>
        <v/>
      </c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7" t="str">
        <f t="shared" si="46"/>
        <v/>
      </c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7" t="str">
        <f t="shared" si="46"/>
        <v/>
      </c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7" t="str">
        <f t="shared" si="46"/>
        <v/>
      </c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7" t="str">
        <f t="shared" si="46"/>
        <v/>
      </c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7" t="str">
        <f t="shared" si="46"/>
        <v/>
      </c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7" t="str">
        <f t="shared" si="46"/>
        <v/>
      </c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7" t="str">
        <f t="shared" si="46"/>
        <v/>
      </c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7" t="str">
        <f t="shared" si="46"/>
        <v/>
      </c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7" t="str">
        <f t="shared" si="46"/>
        <v/>
      </c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7" t="str">
        <f t="shared" si="46"/>
        <v/>
      </c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7" t="str">
        <f t="shared" si="46"/>
        <v/>
      </c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7" t="str">
        <f t="shared" si="46"/>
        <v/>
      </c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7" t="str">
        <f t="shared" si="46"/>
        <v/>
      </c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7" t="str">
        <f t="shared" si="46"/>
        <v/>
      </c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7" t="str">
        <f t="shared" si="46"/>
        <v/>
      </c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7" t="str">
        <f t="shared" si="46"/>
        <v/>
      </c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7" t="str">
        <f t="shared" si="46"/>
        <v/>
      </c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7" t="str">
        <f t="shared" si="46"/>
        <v/>
      </c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7" t="str">
        <f t="shared" si="46"/>
        <v/>
      </c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7" t="str">
        <f t="shared" si="46"/>
        <v/>
      </c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7" t="str">
        <f t="shared" si="46"/>
        <v/>
      </c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7" t="str">
        <f t="shared" si="46"/>
        <v/>
      </c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7" t="str">
        <f t="shared" si="46"/>
        <v/>
      </c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7" t="str">
        <f t="shared" si="46"/>
        <v/>
      </c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7" t="str">
        <f t="shared" si="46"/>
        <v/>
      </c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7" t="str">
        <f t="shared" si="46"/>
        <v/>
      </c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7" t="str">
        <f t="shared" si="46"/>
        <v/>
      </c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7" t="str">
        <f t="shared" si="46"/>
        <v/>
      </c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7" t="str">
        <f t="shared" si="46"/>
        <v/>
      </c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7" t="str">
        <f t="shared" si="46"/>
        <v/>
      </c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7" t="str">
        <f t="shared" si="46"/>
        <v/>
      </c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7" t="str">
        <f t="shared" si="46"/>
        <v/>
      </c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7" t="str">
        <f t="shared" si="46"/>
        <v/>
      </c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7" t="str">
        <f t="shared" si="46"/>
        <v/>
      </c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7" t="str">
        <f t="shared" si="46"/>
        <v/>
      </c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7" t="str">
        <f t="shared" si="46"/>
        <v/>
      </c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7" t="str">
        <f t="shared" si="46"/>
        <v/>
      </c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7" t="str">
        <f t="shared" si="46"/>
        <v/>
      </c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7" t="str">
        <f t="shared" si="46"/>
        <v/>
      </c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7" t="str">
        <f t="shared" si="46"/>
        <v/>
      </c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7" t="str">
        <f t="shared" si="46"/>
        <v/>
      </c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7" t="str">
        <f t="shared" si="46"/>
        <v/>
      </c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7" t="str">
        <f t="shared" si="46"/>
        <v/>
      </c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7" t="str">
        <f t="shared" si="46"/>
        <v/>
      </c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7" t="str">
        <f t="shared" si="46"/>
        <v/>
      </c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7" t="str">
        <f t="shared" si="46"/>
        <v/>
      </c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7" t="str">
        <f t="shared" si="46"/>
        <v/>
      </c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7" t="str">
        <f t="shared" si="46"/>
        <v/>
      </c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7" t="str">
        <f t="shared" si="46"/>
        <v/>
      </c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7" t="str">
        <f t="shared" si="46"/>
        <v/>
      </c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7" t="str">
        <f t="shared" si="46"/>
        <v/>
      </c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7" t="str">
        <f t="shared" ref="M74:M99" si="47">IF(A74="","",IF(OR(B74="",C74="",D74="",F74="",G74="",H74="",J74="",L74=""),"需补充",IF(AND(D74&lt;&gt;"一般",E74=""),"需补充","正常")))</f>
        <v/>
      </c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7" t="str">
        <f t="shared" si="47"/>
        <v/>
      </c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7" t="str">
        <f t="shared" si="47"/>
        <v/>
      </c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7" t="str">
        <f t="shared" si="47"/>
        <v/>
      </c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7" t="str">
        <f t="shared" si="47"/>
        <v/>
      </c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7" t="str">
        <f t="shared" si="47"/>
        <v/>
      </c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7" t="str">
        <f t="shared" si="47"/>
        <v/>
      </c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7" t="str">
        <f t="shared" si="47"/>
        <v/>
      </c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7" t="str">
        <f t="shared" si="47"/>
        <v/>
      </c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7" t="str">
        <f t="shared" si="47"/>
        <v/>
      </c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7" t="str">
        <f t="shared" si="47"/>
        <v/>
      </c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7" t="str">
        <f t="shared" si="47"/>
        <v/>
      </c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7" t="str">
        <f t="shared" si="47"/>
        <v/>
      </c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7" t="str">
        <f t="shared" si="47"/>
        <v/>
      </c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7" t="str">
        <f t="shared" si="47"/>
        <v/>
      </c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7" t="str">
        <f t="shared" si="47"/>
        <v/>
      </c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7" t="str">
        <f t="shared" si="47"/>
        <v/>
      </c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7" t="str">
        <f t="shared" si="47"/>
        <v/>
      </c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7" t="str">
        <f t="shared" si="47"/>
        <v/>
      </c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7" t="str">
        <f t="shared" si="47"/>
        <v/>
      </c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7" t="str">
        <f t="shared" si="47"/>
        <v/>
      </c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7" t="str">
        <f t="shared" si="47"/>
        <v/>
      </c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7" t="str">
        <f t="shared" si="47"/>
        <v/>
      </c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7" t="str">
        <f t="shared" si="47"/>
        <v/>
      </c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7" t="str">
        <f t="shared" si="47"/>
        <v/>
      </c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7" t="str">
        <f t="shared" si="47"/>
        <v/>
      </c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7" t="str">
        <f t="shared" ref="M100:M163" si="48">IF(A100="","",IF(OR(B100="",C100="",D100="",F100="",G100="",H100="",J100="",L100=""),"需补充",IF(AND(D100&lt;&gt;"一般",E100=""),"需补充","正常")))</f>
        <v/>
      </c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7" t="str">
        <f t="shared" si="48"/>
        <v/>
      </c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7" t="str">
        <f t="shared" si="48"/>
        <v/>
      </c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7" t="str">
        <f t="shared" si="48"/>
        <v/>
      </c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7" t="str">
        <f t="shared" si="48"/>
        <v/>
      </c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7" t="str">
        <f t="shared" si="48"/>
        <v/>
      </c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7" t="str">
        <f t="shared" si="48"/>
        <v/>
      </c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7" t="str">
        <f t="shared" si="48"/>
        <v/>
      </c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7" t="str">
        <f t="shared" si="48"/>
        <v/>
      </c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7" t="str">
        <f t="shared" si="48"/>
        <v/>
      </c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7" t="str">
        <f t="shared" si="48"/>
        <v/>
      </c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7" t="str">
        <f t="shared" si="48"/>
        <v/>
      </c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7" t="str">
        <f t="shared" si="48"/>
        <v/>
      </c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7" t="str">
        <f t="shared" si="48"/>
        <v/>
      </c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7" t="str">
        <f t="shared" si="48"/>
        <v/>
      </c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7" t="str">
        <f t="shared" si="48"/>
        <v/>
      </c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7" t="str">
        <f t="shared" si="48"/>
        <v/>
      </c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7" t="str">
        <f t="shared" si="48"/>
        <v/>
      </c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7" t="str">
        <f t="shared" si="48"/>
        <v/>
      </c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7" t="str">
        <f t="shared" si="48"/>
        <v/>
      </c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7" t="str">
        <f t="shared" si="48"/>
        <v/>
      </c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7" t="str">
        <f t="shared" si="48"/>
        <v/>
      </c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7" t="str">
        <f t="shared" si="48"/>
        <v/>
      </c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7" t="str">
        <f t="shared" si="48"/>
        <v/>
      </c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7" t="str">
        <f t="shared" si="48"/>
        <v/>
      </c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7" t="str">
        <f t="shared" si="48"/>
        <v/>
      </c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7" t="str">
        <f t="shared" si="48"/>
        <v/>
      </c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7" t="str">
        <f t="shared" si="48"/>
        <v/>
      </c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7" t="str">
        <f t="shared" si="48"/>
        <v/>
      </c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7" t="str">
        <f t="shared" si="48"/>
        <v/>
      </c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7" t="str">
        <f t="shared" si="48"/>
        <v/>
      </c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7" t="str">
        <f t="shared" si="48"/>
        <v/>
      </c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7" t="str">
        <f t="shared" si="48"/>
        <v/>
      </c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7" t="str">
        <f t="shared" si="48"/>
        <v/>
      </c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7" t="str">
        <f t="shared" si="48"/>
        <v/>
      </c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7" t="str">
        <f t="shared" si="48"/>
        <v/>
      </c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7" t="str">
        <f t="shared" si="48"/>
        <v/>
      </c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7" t="str">
        <f t="shared" si="48"/>
        <v/>
      </c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7" t="str">
        <f t="shared" si="48"/>
        <v/>
      </c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7" t="str">
        <f t="shared" si="48"/>
        <v/>
      </c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7" t="str">
        <f t="shared" si="48"/>
        <v/>
      </c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7" t="str">
        <f t="shared" si="48"/>
        <v/>
      </c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7" t="str">
        <f t="shared" si="48"/>
        <v/>
      </c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7" t="str">
        <f t="shared" si="48"/>
        <v/>
      </c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7" t="str">
        <f t="shared" si="48"/>
        <v/>
      </c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7" t="str">
        <f t="shared" si="48"/>
        <v/>
      </c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7" t="str">
        <f t="shared" si="48"/>
        <v/>
      </c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7" t="str">
        <f t="shared" si="48"/>
        <v/>
      </c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7" t="str">
        <f t="shared" si="48"/>
        <v/>
      </c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7" t="str">
        <f t="shared" si="48"/>
        <v/>
      </c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7" t="str">
        <f t="shared" si="48"/>
        <v/>
      </c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7" t="str">
        <f t="shared" si="48"/>
        <v/>
      </c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7" t="str">
        <f t="shared" si="48"/>
        <v/>
      </c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7" t="str">
        <f t="shared" si="48"/>
        <v/>
      </c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7" t="str">
        <f t="shared" si="48"/>
        <v/>
      </c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7" t="str">
        <f t="shared" si="48"/>
        <v/>
      </c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7" t="str">
        <f t="shared" si="48"/>
        <v/>
      </c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7" t="str">
        <f t="shared" si="48"/>
        <v/>
      </c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7" t="str">
        <f t="shared" si="48"/>
        <v/>
      </c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7" t="str">
        <f t="shared" si="48"/>
        <v/>
      </c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7" t="str">
        <f t="shared" si="48"/>
        <v/>
      </c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7" t="str">
        <f t="shared" si="48"/>
        <v/>
      </c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7" t="str">
        <f t="shared" si="48"/>
        <v/>
      </c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7" t="str">
        <f t="shared" si="48"/>
        <v/>
      </c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7" t="str">
        <f t="shared" ref="M164:M201" si="49">IF(A164="","",IF(OR(B164="",C164="",D164="",F164="",G164="",H164="",J164="",L164=""),"需补充",IF(AND(D164&lt;&gt;"一般",E164=""),"需补充","正常")))</f>
        <v/>
      </c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7" t="str">
        <f t="shared" si="49"/>
        <v/>
      </c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7" t="str">
        <f t="shared" si="49"/>
        <v/>
      </c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7" t="str">
        <f t="shared" si="49"/>
        <v/>
      </c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7" t="str">
        <f t="shared" si="49"/>
        <v/>
      </c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7" t="str">
        <f t="shared" si="49"/>
        <v/>
      </c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7" t="str">
        <f t="shared" si="49"/>
        <v/>
      </c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7" t="str">
        <f t="shared" si="49"/>
        <v/>
      </c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7" t="str">
        <f t="shared" si="49"/>
        <v/>
      </c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7" t="str">
        <f t="shared" si="49"/>
        <v/>
      </c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7" t="str">
        <f t="shared" si="49"/>
        <v/>
      </c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7" t="str">
        <f t="shared" si="49"/>
        <v/>
      </c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7" t="str">
        <f t="shared" si="49"/>
        <v/>
      </c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7" t="str">
        <f t="shared" si="49"/>
        <v/>
      </c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7" t="str">
        <f t="shared" si="49"/>
        <v/>
      </c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7" t="str">
        <f t="shared" si="49"/>
        <v/>
      </c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7" t="str">
        <f t="shared" si="49"/>
        <v/>
      </c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7" t="str">
        <f t="shared" si="49"/>
        <v/>
      </c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7" t="str">
        <f t="shared" si="49"/>
        <v/>
      </c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7" t="str">
        <f t="shared" si="49"/>
        <v/>
      </c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7" t="str">
        <f t="shared" si="49"/>
        <v/>
      </c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7" t="str">
        <f t="shared" si="49"/>
        <v/>
      </c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7" t="str">
        <f t="shared" si="49"/>
        <v/>
      </c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7" t="str">
        <f t="shared" si="49"/>
        <v/>
      </c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7" t="str">
        <f t="shared" si="49"/>
        <v/>
      </c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7" t="str">
        <f t="shared" si="49"/>
        <v/>
      </c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7" t="str">
        <f t="shared" si="49"/>
        <v/>
      </c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7" t="str">
        <f t="shared" si="49"/>
        <v/>
      </c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7" t="str">
        <f t="shared" si="49"/>
        <v/>
      </c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7" t="str">
        <f t="shared" si="49"/>
        <v/>
      </c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7" t="str">
        <f t="shared" si="49"/>
        <v/>
      </c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7" t="str">
        <f t="shared" si="49"/>
        <v/>
      </c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7" t="str">
        <f t="shared" si="49"/>
        <v/>
      </c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7" t="str">
        <f t="shared" si="49"/>
        <v/>
      </c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7" t="str">
        <f t="shared" si="49"/>
        <v/>
      </c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7" t="str">
        <f t="shared" si="49"/>
        <v/>
      </c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7" t="str">
        <f t="shared" si="49"/>
        <v/>
      </c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7" t="str">
        <f t="shared" si="49"/>
        <v/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正常" id="{D1F8FEC0-27C6-49E8-8276-D7FC31A5D6F2}">
            <x14:dxf>
              <font>
                <b/>
                <color rgb="FF256029"/>
              </font>
              <fill>
                <patternFill patternType="solid">
                  <fgColor rgb="FFE2F0D9"/>
                  <bgColor rgb="FFE2F0D9"/>
                </patternFill>
              </fill>
            </x14:dxf>
          </x14:cfRule>
          <xm:sqref>M2:M201</xm:sqref>
        </x14:conditionalFormatting>
        <x14:conditionalFormatting xmlns:xm="http://schemas.microsoft.com/office/excel/2006/main">
          <x14:cfRule type="containsText" priority="2" operator="containsText" text="待冻结" id="{76F8F6FA-86FB-4E3B-B1D2-EE755FD20C94}">
            <x14:dxf>
              <font>
                <b/>
                <color rgb="FF8A4B08"/>
              </font>
              <fill>
                <patternFill patternType="solid">
                  <fgColor rgb="FFFFF4CC"/>
                  <bgColor rgb="FFFFF4CC"/>
                </patternFill>
              </fill>
            </x14:dxf>
          </x14:cfRule>
          <xm:sqref>M2:M201</xm:sqref>
        </x14:conditionalFormatting>
        <x14:conditionalFormatting xmlns:xm="http://schemas.microsoft.com/office/excel/2006/main">
          <x14:cfRule type="containsText" priority="3" operator="containsText" text="需" id="{85C8BBFD-2A23-4333-96BF-A65F66219928}">
            <x14:dxf>
              <font>
                <b/>
                <color rgb="FFB42318"/>
              </font>
              <fill>
                <patternFill patternType="solid">
                  <fgColor rgb="FFFCE8E6"/>
                  <bgColor rgb="FFFCE8E6"/>
                </patternFill>
              </fill>
            </x14:dxf>
          </x14:cfRule>
          <xm:sqref>M2:M201</xm:sqref>
        </x14:conditionalFormatting>
        <x14:conditionalFormatting xmlns:xm="http://schemas.microsoft.com/office/excel/2006/main">
          <x14:cfRule type="containsText" priority="4" operator="containsText" text="禁止" id="{A3739106-E64F-4871-A8CE-5D7E6A0DB4B8}">
            <x14:dxf>
              <font>
                <b/>
                <color rgb="FFB42318"/>
              </font>
              <fill>
                <patternFill patternType="solid">
                  <fgColor rgb="FFFCE8E6"/>
                  <bgColor rgb="FFFCE8E6"/>
                </patternFill>
              </fill>
            </x14:dxf>
          </x14:cfRule>
          <xm:sqref>M2:M201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F3FDED0E-00AD-4B42-B4B4-9C5D7355D025}" type="list" allowBlank="0" errorStyle="stop" imeMode="noControl" operator="between" showDropDown="0" showErrorMessage="0" showInputMessage="0">
          <x14:formula1>
            <xm:f>"熟悉材料,初始编码,主题发展,主题复核,分析写作"</xm:f>
          </x14:formula1>
          <xm:sqref>C2:C201</xm:sqref>
        </x14:dataValidation>
        <x14:dataValidation xr:uid="{EC20018B-629C-46AC-9378-FA79A934F0CB}" type="list" allowBlank="0" errorStyle="stop" imeMode="noControl" operator="between" showDropDown="0" showErrorMessage="0" showInputMessage="0">
          <x14:formula1>
            <xm:f>"子语料记录,开放代码,代码应用,主题,一般"</xm:f>
          </x14:formula1>
          <xm:sqref>D2:D201</xm:sqref>
        </x14:dataValidation>
        <x14:dataValidation xr:uid="{D0E5FA16-8AB4-42B7-B2CF-4E93AF4FEEF2}" type="list" allowBlank="0" errorStyle="stop" imeMode="noControl" operator="between" showDropDown="0" showErrorMessage="0" showInputMessage="0">
          <x14:formula1>
            <xm:f>"正常,需补充"</xm:f>
          </x14:formula1>
          <xm:sqref>M2:M201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2" width="16"/>
    <col customWidth="1" min="3" max="4" width="18"/>
    <col customWidth="1" min="5" max="7" width="16"/>
    <col customWidth="1" min="8" max="8" width="42"/>
    <col customWidth="1" min="9" max="9" width="30"/>
    <col customWidth="1" min="10" max="10" width="40"/>
    <col customWidth="1" min="11" max="11" width="18"/>
    <col customWidth="1" min="12" max="12" width="24"/>
    <col customWidth="1" min="13" max="13" width="16"/>
  </cols>
  <sheetData>
    <row r="1" ht="38" customHeight="1">
      <c r="A1" s="25" t="s">
        <v>201</v>
      </c>
      <c r="B1" s="25" t="s">
        <v>202</v>
      </c>
      <c r="C1" s="25" t="s">
        <v>203</v>
      </c>
      <c r="D1" s="25" t="s">
        <v>204</v>
      </c>
      <c r="E1" s="25" t="s">
        <v>205</v>
      </c>
      <c r="F1" s="25" t="s">
        <v>206</v>
      </c>
      <c r="G1" s="25" t="s">
        <v>207</v>
      </c>
      <c r="H1" s="25" t="s">
        <v>208</v>
      </c>
      <c r="I1" s="25" t="s">
        <v>209</v>
      </c>
      <c r="J1" s="25" t="s">
        <v>210</v>
      </c>
      <c r="K1" s="25" t="s">
        <v>211</v>
      </c>
      <c r="L1" s="25" t="s">
        <v>212</v>
      </c>
      <c r="M1" s="25" t="s">
        <v>112</v>
      </c>
    </row>
    <row r="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7" t="str">
        <f t="shared" ref="M2:M9" si="50">IF(A2="","",IF(OR(B2="",C2="",D2="",E2="",H2="",I2="",J2="",K2="",L2=""),"需补充",IF(AND(E2="已关闭",G2=""),"需补充","正常")))</f>
        <v/>
      </c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7" t="str">
        <f t="shared" si="50"/>
        <v/>
      </c>
    </row>
    <row r="4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7" t="str">
        <f t="shared" si="50"/>
        <v/>
      </c>
    </row>
    <row r="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7" t="str">
        <f t="shared" si="50"/>
        <v/>
      </c>
    </row>
    <row r="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7" t="str">
        <f t="shared" si="50"/>
        <v/>
      </c>
    </row>
    <row r="7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tr">
        <f t="shared" si="50"/>
        <v/>
      </c>
    </row>
    <row r="8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7" t="str">
        <f t="shared" si="50"/>
        <v/>
      </c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7" t="str">
        <f t="shared" si="50"/>
        <v/>
      </c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7" t="str">
        <f t="shared" ref="M10:M73" si="51">IF(A10="","",IF(OR(B10="",C10="",D10="",E10="",H10="",I10="",J10="",K10="",L10=""),"需补充",IF(AND(E10="已关闭",G10=""),"需补充","正常")))</f>
        <v/>
      </c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7" t="str">
        <f t="shared" si="51"/>
        <v/>
      </c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7" t="str">
        <f t="shared" si="51"/>
        <v/>
      </c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7" t="str">
        <f t="shared" si="51"/>
        <v/>
      </c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7" t="str">
        <f t="shared" si="51"/>
        <v/>
      </c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7" t="str">
        <f t="shared" si="51"/>
        <v/>
      </c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7" t="str">
        <f t="shared" si="51"/>
        <v/>
      </c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7" t="str">
        <f t="shared" si="51"/>
        <v/>
      </c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7" t="str">
        <f t="shared" si="51"/>
        <v/>
      </c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7" t="str">
        <f t="shared" si="51"/>
        <v/>
      </c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7" t="str">
        <f t="shared" si="51"/>
        <v/>
      </c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7" t="str">
        <f t="shared" si="51"/>
        <v/>
      </c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7" t="str">
        <f t="shared" si="51"/>
        <v/>
      </c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7" t="str">
        <f t="shared" si="51"/>
        <v/>
      </c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7" t="str">
        <f t="shared" si="51"/>
        <v/>
      </c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7" t="str">
        <f t="shared" si="51"/>
        <v/>
      </c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7" t="str">
        <f t="shared" si="51"/>
        <v/>
      </c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7" t="str">
        <f t="shared" si="51"/>
        <v/>
      </c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7" t="str">
        <f t="shared" si="51"/>
        <v/>
      </c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7" t="str">
        <f t="shared" si="51"/>
        <v/>
      </c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7" t="str">
        <f t="shared" si="51"/>
        <v/>
      </c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7" t="str">
        <f t="shared" si="51"/>
        <v/>
      </c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7" t="str">
        <f t="shared" si="51"/>
        <v/>
      </c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7" t="str">
        <f t="shared" si="51"/>
        <v/>
      </c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7" t="str">
        <f t="shared" si="51"/>
        <v/>
      </c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7" t="str">
        <f t="shared" si="51"/>
        <v/>
      </c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7" t="str">
        <f t="shared" si="51"/>
        <v/>
      </c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7" t="str">
        <f t="shared" si="51"/>
        <v/>
      </c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7" t="str">
        <f t="shared" si="51"/>
        <v/>
      </c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7" t="str">
        <f t="shared" si="51"/>
        <v/>
      </c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7" t="str">
        <f t="shared" si="51"/>
        <v/>
      </c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7" t="str">
        <f t="shared" si="51"/>
        <v/>
      </c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7" t="str">
        <f t="shared" si="51"/>
        <v/>
      </c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7" t="str">
        <f t="shared" si="51"/>
        <v/>
      </c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7" t="str">
        <f t="shared" si="51"/>
        <v/>
      </c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7" t="str">
        <f t="shared" si="51"/>
        <v/>
      </c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7" t="str">
        <f t="shared" si="51"/>
        <v/>
      </c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7" t="str">
        <f t="shared" si="51"/>
        <v/>
      </c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7" t="str">
        <f t="shared" si="51"/>
        <v/>
      </c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7" t="str">
        <f t="shared" si="51"/>
        <v/>
      </c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7" t="str">
        <f t="shared" si="51"/>
        <v/>
      </c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7" t="str">
        <f t="shared" si="51"/>
        <v/>
      </c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7" t="str">
        <f t="shared" si="51"/>
        <v/>
      </c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7" t="str">
        <f t="shared" si="51"/>
        <v/>
      </c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7" t="str">
        <f t="shared" si="51"/>
        <v/>
      </c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7" t="str">
        <f t="shared" si="51"/>
        <v/>
      </c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7" t="str">
        <f t="shared" si="51"/>
        <v/>
      </c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7" t="str">
        <f t="shared" si="51"/>
        <v/>
      </c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7" t="str">
        <f t="shared" si="51"/>
        <v/>
      </c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7" t="str">
        <f t="shared" si="51"/>
        <v/>
      </c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7" t="str">
        <f t="shared" si="51"/>
        <v/>
      </c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7" t="str">
        <f t="shared" si="51"/>
        <v/>
      </c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7" t="str">
        <f t="shared" si="51"/>
        <v/>
      </c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7" t="str">
        <f t="shared" si="51"/>
        <v/>
      </c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7" t="str">
        <f t="shared" si="51"/>
        <v/>
      </c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7" t="str">
        <f t="shared" si="51"/>
        <v/>
      </c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7" t="str">
        <f t="shared" si="51"/>
        <v/>
      </c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7" t="str">
        <f t="shared" si="51"/>
        <v/>
      </c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7" t="str">
        <f t="shared" si="51"/>
        <v/>
      </c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7" t="str">
        <f t="shared" si="51"/>
        <v/>
      </c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7" t="str">
        <f t="shared" si="51"/>
        <v/>
      </c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7" t="str">
        <f t="shared" si="51"/>
        <v/>
      </c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7" t="str">
        <f t="shared" si="51"/>
        <v/>
      </c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7" t="str">
        <f t="shared" si="51"/>
        <v/>
      </c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7" t="str">
        <f t="shared" ref="M74:M99" si="52">IF(A74="","",IF(OR(B74="",C74="",D74="",E74="",H74="",I74="",J74="",K74="",L74=""),"需补充",IF(AND(E74="已关闭",G74=""),"需补充","正常")))</f>
        <v/>
      </c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7" t="str">
        <f t="shared" si="52"/>
        <v/>
      </c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7" t="str">
        <f t="shared" si="52"/>
        <v/>
      </c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7" t="str">
        <f t="shared" si="52"/>
        <v/>
      </c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7" t="str">
        <f t="shared" si="52"/>
        <v/>
      </c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7" t="str">
        <f t="shared" si="52"/>
        <v/>
      </c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7" t="str">
        <f t="shared" si="52"/>
        <v/>
      </c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7" t="str">
        <f t="shared" si="52"/>
        <v/>
      </c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7" t="str">
        <f t="shared" si="52"/>
        <v/>
      </c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7" t="str">
        <f t="shared" si="52"/>
        <v/>
      </c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7" t="str">
        <f t="shared" si="52"/>
        <v/>
      </c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7" t="str">
        <f t="shared" si="52"/>
        <v/>
      </c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7" t="str">
        <f t="shared" si="52"/>
        <v/>
      </c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7" t="str">
        <f t="shared" si="52"/>
        <v/>
      </c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7" t="str">
        <f t="shared" si="52"/>
        <v/>
      </c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7" t="str">
        <f t="shared" si="52"/>
        <v/>
      </c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7" t="str">
        <f t="shared" si="52"/>
        <v/>
      </c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7" t="str">
        <f t="shared" si="52"/>
        <v/>
      </c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7" t="str">
        <f t="shared" si="52"/>
        <v/>
      </c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7" t="str">
        <f t="shared" si="52"/>
        <v/>
      </c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7" t="str">
        <f t="shared" si="52"/>
        <v/>
      </c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7" t="str">
        <f t="shared" si="52"/>
        <v/>
      </c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7" t="str">
        <f t="shared" si="52"/>
        <v/>
      </c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7" t="str">
        <f t="shared" si="52"/>
        <v/>
      </c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7" t="str">
        <f t="shared" si="52"/>
        <v/>
      </c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7" t="str">
        <f t="shared" si="52"/>
        <v/>
      </c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7" t="str">
        <f t="shared" ref="M100:M163" si="53">IF(A100="","",IF(OR(B100="",C100="",D100="",E100="",H100="",I100="",J100="",K100="",L100=""),"需补充",IF(AND(E100="已关闭",G100=""),"需补充","正常")))</f>
        <v/>
      </c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7" t="str">
        <f t="shared" si="53"/>
        <v/>
      </c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7" t="str">
        <f t="shared" si="53"/>
        <v/>
      </c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7" t="str">
        <f t="shared" si="53"/>
        <v/>
      </c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7" t="str">
        <f t="shared" si="53"/>
        <v/>
      </c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7" t="str">
        <f t="shared" si="53"/>
        <v/>
      </c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7" t="str">
        <f t="shared" si="53"/>
        <v/>
      </c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7" t="str">
        <f t="shared" si="53"/>
        <v/>
      </c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7" t="str">
        <f t="shared" si="53"/>
        <v/>
      </c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7" t="str">
        <f t="shared" si="53"/>
        <v/>
      </c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7" t="str">
        <f t="shared" si="53"/>
        <v/>
      </c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7" t="str">
        <f t="shared" si="53"/>
        <v/>
      </c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7" t="str">
        <f t="shared" si="53"/>
        <v/>
      </c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7" t="str">
        <f t="shared" si="53"/>
        <v/>
      </c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7" t="str">
        <f t="shared" si="53"/>
        <v/>
      </c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7" t="str">
        <f t="shared" si="53"/>
        <v/>
      </c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7" t="str">
        <f t="shared" si="53"/>
        <v/>
      </c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7" t="str">
        <f t="shared" si="53"/>
        <v/>
      </c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7" t="str">
        <f t="shared" si="53"/>
        <v/>
      </c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7" t="str">
        <f t="shared" si="53"/>
        <v/>
      </c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7" t="str">
        <f t="shared" si="53"/>
        <v/>
      </c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7" t="str">
        <f t="shared" si="53"/>
        <v/>
      </c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7" t="str">
        <f t="shared" si="53"/>
        <v/>
      </c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7" t="str">
        <f t="shared" si="53"/>
        <v/>
      </c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7" t="str">
        <f t="shared" si="53"/>
        <v/>
      </c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7" t="str">
        <f t="shared" si="53"/>
        <v/>
      </c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7" t="str">
        <f t="shared" si="53"/>
        <v/>
      </c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7" t="str">
        <f t="shared" si="53"/>
        <v/>
      </c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7" t="str">
        <f t="shared" si="53"/>
        <v/>
      </c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7" t="str">
        <f t="shared" si="53"/>
        <v/>
      </c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7" t="str">
        <f t="shared" si="53"/>
        <v/>
      </c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7" t="str">
        <f t="shared" si="53"/>
        <v/>
      </c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7" t="str">
        <f t="shared" si="53"/>
        <v/>
      </c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7" t="str">
        <f t="shared" si="53"/>
        <v/>
      </c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7" t="str">
        <f t="shared" si="53"/>
        <v/>
      </c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7" t="str">
        <f t="shared" si="53"/>
        <v/>
      </c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7" t="str">
        <f t="shared" si="53"/>
        <v/>
      </c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7" t="str">
        <f t="shared" si="53"/>
        <v/>
      </c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7" t="str">
        <f t="shared" si="53"/>
        <v/>
      </c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7" t="str">
        <f t="shared" si="53"/>
        <v/>
      </c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7" t="str">
        <f t="shared" si="53"/>
        <v/>
      </c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7" t="str">
        <f t="shared" si="53"/>
        <v/>
      </c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7" t="str">
        <f t="shared" si="53"/>
        <v/>
      </c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7" t="str">
        <f t="shared" si="53"/>
        <v/>
      </c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7" t="str">
        <f t="shared" si="53"/>
        <v/>
      </c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7" t="str">
        <f t="shared" si="53"/>
        <v/>
      </c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7" t="str">
        <f t="shared" si="53"/>
        <v/>
      </c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7" t="str">
        <f t="shared" si="53"/>
        <v/>
      </c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7" t="str">
        <f t="shared" si="53"/>
        <v/>
      </c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7" t="str">
        <f t="shared" si="53"/>
        <v/>
      </c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7" t="str">
        <f t="shared" si="53"/>
        <v/>
      </c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7" t="str">
        <f t="shared" si="53"/>
        <v/>
      </c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7" t="str">
        <f t="shared" si="53"/>
        <v/>
      </c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7" t="str">
        <f t="shared" si="53"/>
        <v/>
      </c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7" t="str">
        <f t="shared" si="53"/>
        <v/>
      </c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7" t="str">
        <f t="shared" si="53"/>
        <v/>
      </c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7" t="str">
        <f t="shared" si="53"/>
        <v/>
      </c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7" t="str">
        <f t="shared" si="53"/>
        <v/>
      </c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7" t="str">
        <f t="shared" si="53"/>
        <v/>
      </c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7" t="str">
        <f t="shared" si="53"/>
        <v/>
      </c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7" t="str">
        <f t="shared" si="53"/>
        <v/>
      </c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7" t="str">
        <f t="shared" si="53"/>
        <v/>
      </c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7" t="str">
        <f t="shared" si="53"/>
        <v/>
      </c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7" t="str">
        <f t="shared" si="53"/>
        <v/>
      </c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7" t="str">
        <f t="shared" ref="M164:M201" si="54">IF(A164="","",IF(OR(B164="",C164="",D164="",E164="",H164="",I164="",J164="",K164="",L164=""),"需补充",IF(AND(E164="已关闭",G164=""),"需补充","正常")))</f>
        <v/>
      </c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7" t="str">
        <f t="shared" si="54"/>
        <v/>
      </c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7" t="str">
        <f t="shared" si="54"/>
        <v/>
      </c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7" t="str">
        <f t="shared" si="54"/>
        <v/>
      </c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7" t="str">
        <f t="shared" si="54"/>
        <v/>
      </c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7" t="str">
        <f t="shared" si="54"/>
        <v/>
      </c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7" t="str">
        <f t="shared" si="54"/>
        <v/>
      </c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7" t="str">
        <f t="shared" si="54"/>
        <v/>
      </c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7" t="str">
        <f t="shared" si="54"/>
        <v/>
      </c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7" t="str">
        <f t="shared" si="54"/>
        <v/>
      </c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7" t="str">
        <f t="shared" si="54"/>
        <v/>
      </c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7" t="str">
        <f t="shared" si="54"/>
        <v/>
      </c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7" t="str">
        <f t="shared" si="54"/>
        <v/>
      </c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7" t="str">
        <f t="shared" si="54"/>
        <v/>
      </c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7" t="str">
        <f t="shared" si="54"/>
        <v/>
      </c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7" t="str">
        <f t="shared" si="54"/>
        <v/>
      </c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7" t="str">
        <f t="shared" si="54"/>
        <v/>
      </c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7" t="str">
        <f t="shared" si="54"/>
        <v/>
      </c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7" t="str">
        <f t="shared" si="54"/>
        <v/>
      </c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7" t="str">
        <f t="shared" si="54"/>
        <v/>
      </c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7" t="str">
        <f t="shared" si="54"/>
        <v/>
      </c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7" t="str">
        <f t="shared" si="54"/>
        <v/>
      </c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7" t="str">
        <f t="shared" si="54"/>
        <v/>
      </c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7" t="str">
        <f t="shared" si="54"/>
        <v/>
      </c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7" t="str">
        <f t="shared" si="54"/>
        <v/>
      </c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7" t="str">
        <f t="shared" si="54"/>
        <v/>
      </c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7" t="str">
        <f t="shared" si="54"/>
        <v/>
      </c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7" t="str">
        <f t="shared" si="54"/>
        <v/>
      </c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7" t="str">
        <f t="shared" si="54"/>
        <v/>
      </c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7" t="str">
        <f t="shared" si="54"/>
        <v/>
      </c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7" t="str">
        <f t="shared" si="54"/>
        <v/>
      </c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7" t="str">
        <f t="shared" si="54"/>
        <v/>
      </c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7" t="str">
        <f t="shared" si="54"/>
        <v/>
      </c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7" t="str">
        <f t="shared" si="54"/>
        <v/>
      </c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7" t="str">
        <f t="shared" si="54"/>
        <v/>
      </c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7" t="str">
        <f t="shared" si="54"/>
        <v/>
      </c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7" t="str">
        <f t="shared" si="54"/>
        <v/>
      </c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7" t="str">
        <f t="shared" si="54"/>
        <v/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正常" id="{9B5B3CFB-6FBF-437F-84C3-F94F75FC39BE}">
            <x14:dxf>
              <font>
                <b/>
                <color rgb="FF256029"/>
              </font>
              <fill>
                <patternFill patternType="solid">
                  <fgColor rgb="FFE2F0D9"/>
                  <bgColor rgb="FFE2F0D9"/>
                </patternFill>
              </fill>
            </x14:dxf>
          </x14:cfRule>
          <xm:sqref>M2:M201</xm:sqref>
        </x14:conditionalFormatting>
        <x14:conditionalFormatting xmlns:xm="http://schemas.microsoft.com/office/excel/2006/main">
          <x14:cfRule type="containsText" priority="2" operator="containsText" text="待冻结" id="{4410E6BD-D1CB-45E3-AFDB-4AF8F0A825B7}">
            <x14:dxf>
              <font>
                <b/>
                <color rgb="FF8A4B08"/>
              </font>
              <fill>
                <patternFill patternType="solid">
                  <fgColor rgb="FFFFF4CC"/>
                  <bgColor rgb="FFFFF4CC"/>
                </patternFill>
              </fill>
            </x14:dxf>
          </x14:cfRule>
          <xm:sqref>M2:M201</xm:sqref>
        </x14:conditionalFormatting>
        <x14:conditionalFormatting xmlns:xm="http://schemas.microsoft.com/office/excel/2006/main">
          <x14:cfRule type="containsText" priority="3" operator="containsText" text="需" id="{9E0B577C-318B-4F15-AAA7-A015BC8BA421}">
            <x14:dxf>
              <font>
                <b/>
                <color rgb="FFB42318"/>
              </font>
              <fill>
                <patternFill patternType="solid">
                  <fgColor rgb="FFFCE8E6"/>
                  <bgColor rgb="FFFCE8E6"/>
                </patternFill>
              </fill>
            </x14:dxf>
          </x14:cfRule>
          <xm:sqref>M2:M201</xm:sqref>
        </x14:conditionalFormatting>
        <x14:conditionalFormatting xmlns:xm="http://schemas.microsoft.com/office/excel/2006/main">
          <x14:cfRule type="containsText" priority="4" operator="containsText" text="禁止" id="{3D62D7E8-7130-4310-98AA-A659AB5AE2E6}">
            <x14:dxf>
              <font>
                <b/>
                <color rgb="FFB42318"/>
              </font>
              <fill>
                <patternFill patternType="solid">
                  <fgColor rgb="FFFCE8E6"/>
                  <bgColor rgb="FFFCE8E6"/>
                </patternFill>
              </fill>
            </x14:dxf>
          </x14:cfRule>
          <xm:sqref>M2:M201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xr:uid="{0D93FFFF-AA41-4719-B9C9-C1C57A24AF50}" type="list" allowBlank="0" errorStyle="stop" imeMode="noControl" operator="between" showDropDown="0" showErrorMessage="0" showInputMessage="0">
          <x14:formula1>
            <xm:f>"子语料,开放代码,主题,方法,人工智能"</xm:f>
          </x14:formula1>
          <xm:sqref>B2:B201</xm:sqref>
        </x14:dataValidation>
        <x14:dataValidation xr:uid="{A8880B0F-5CF2-42A7-8A2B-0F8244FC8126}" type="list" allowBlank="0" errorStyle="stop" imeMode="noControl" operator="between" showDropDown="0" showErrorMessage="0" showInputMessage="0">
          <x14:formula1>
            <xm:f>"新建,重命名,重新定义,合并,已拆分,保留,删除,范围变更"</xm:f>
          </x14:formula1>
          <xm:sqref>D2:D201</xm:sqref>
        </x14:dataValidation>
        <x14:dataValidation xr:uid="{28A98D71-54C9-48C7-B0BD-A5798D900E50}" type="list" allowBlank="0" errorStyle="stop" imeMode="noControl" operator="between" showDropDown="0" showErrorMessage="0" showInputMessage="0">
          <x14:formula1>
            <xm:f>"未关闭,已关闭,已被替代"</xm:f>
          </x14:formula1>
          <xm:sqref>E2:E201</xm:sqref>
        </x14:dataValidation>
        <x14:dataValidation xr:uid="{C624F2E7-CD04-4231-AD2D-EB014E8B8CC4}" type="list" allowBlank="0" errorStyle="stop" imeMode="noControl" operator="between" showDropDown="0" showErrorMessage="0" showInputMessage="0">
          <x14:formula1>
            <xm:f>"正常,需补充"</xm:f>
          </x14:formula1>
          <xm:sqref>M2:M201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19"/>
    <col customWidth="1" min="2" max="3" width="22"/>
    <col customWidth="1" min="4" max="4" width="26"/>
    <col customWidth="1" min="5" max="5" width="22"/>
    <col customWidth="1" min="6" max="6" width="38"/>
    <col customWidth="1" min="7" max="7" width="40"/>
    <col customWidth="1" min="8" max="8" width="18"/>
    <col customWidth="1" min="9" max="9" width="40"/>
    <col customWidth="1" min="10" max="10" width="18"/>
    <col customWidth="1" min="11" max="11" width="30"/>
    <col customWidth="1" min="12" max="12" width="36"/>
    <col customWidth="1" min="13" max="13" width="16"/>
    <col customWidth="1" min="14" max="14" width="24"/>
    <col customWidth="1" min="15" max="15" width="16"/>
  </cols>
  <sheetData>
    <row r="1" ht="38" customHeight="1">
      <c r="A1" s="25" t="s">
        <v>213</v>
      </c>
      <c r="B1" s="25" t="s">
        <v>193</v>
      </c>
      <c r="C1" s="25" t="s">
        <v>214</v>
      </c>
      <c r="D1" s="25" t="s">
        <v>215</v>
      </c>
      <c r="E1" s="25" t="s">
        <v>216</v>
      </c>
      <c r="F1" s="25" t="s">
        <v>217</v>
      </c>
      <c r="G1" s="25" t="s">
        <v>218</v>
      </c>
      <c r="H1" s="25" t="s">
        <v>219</v>
      </c>
      <c r="I1" s="25" t="s">
        <v>220</v>
      </c>
      <c r="J1" s="25" t="s">
        <v>221</v>
      </c>
      <c r="K1" s="25" t="s">
        <v>222</v>
      </c>
      <c r="L1" s="25" t="s">
        <v>223</v>
      </c>
      <c r="M1" s="25" t="s">
        <v>224</v>
      </c>
      <c r="N1" s="25" t="s">
        <v>126</v>
      </c>
      <c r="O1" s="25" t="s">
        <v>112</v>
      </c>
    </row>
    <row r="2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7" t="str">
        <f t="shared" ref="O2:O9" si="55">IF(A2="","",IF(OR(B2="",C2="",D2="",E2="",F2="",G2="",H2="",I2="",J2="",K2="",L2="",M2="",N2=""),"需补充",IF(M2="未通过","禁止使用","正常")))</f>
        <v/>
      </c>
    </row>
    <row r="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7" t="str">
        <f t="shared" si="55"/>
        <v/>
      </c>
    </row>
    <row r="4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7" t="str">
        <f t="shared" si="55"/>
        <v/>
      </c>
    </row>
    <row r="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7" t="str">
        <f t="shared" si="55"/>
        <v/>
      </c>
    </row>
    <row r="6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7" t="str">
        <f t="shared" si="55"/>
        <v/>
      </c>
    </row>
    <row r="7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7" t="str">
        <f t="shared" si="55"/>
        <v/>
      </c>
    </row>
    <row r="8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7" t="str">
        <f t="shared" si="55"/>
        <v/>
      </c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 t="str">
        <f t="shared" si="55"/>
        <v/>
      </c>
    </row>
    <row r="10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7" t="str">
        <f t="shared" ref="O10:O73" si="56">IF(A10="","",IF(OR(B10="",C10="",D10="",E10="",F10="",G10="",H10="",I10="",J10="",K10="",L10="",M10="",N10=""),"需补充",IF(M10="未通过","禁止使用","正常")))</f>
        <v/>
      </c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7" t="str">
        <f t="shared" si="56"/>
        <v/>
      </c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7" t="str">
        <f t="shared" si="56"/>
        <v/>
      </c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7" t="str">
        <f t="shared" si="56"/>
        <v/>
      </c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7" t="str">
        <f t="shared" si="56"/>
        <v/>
      </c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7" t="str">
        <f t="shared" si="56"/>
        <v/>
      </c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7" t="str">
        <f t="shared" si="56"/>
        <v/>
      </c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7" t="str">
        <f t="shared" si="56"/>
        <v/>
      </c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7" t="str">
        <f t="shared" si="56"/>
        <v/>
      </c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7" t="str">
        <f t="shared" si="56"/>
        <v/>
      </c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7" t="str">
        <f t="shared" si="56"/>
        <v/>
      </c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 t="str">
        <f t="shared" si="56"/>
        <v/>
      </c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 t="str">
        <f t="shared" si="56"/>
        <v/>
      </c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 t="str">
        <f t="shared" si="56"/>
        <v/>
      </c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 t="str">
        <f t="shared" si="56"/>
        <v/>
      </c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 t="str">
        <f t="shared" si="56"/>
        <v/>
      </c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 t="str">
        <f t="shared" si="56"/>
        <v/>
      </c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 t="str">
        <f t="shared" si="56"/>
        <v/>
      </c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 t="str">
        <f t="shared" si="56"/>
        <v/>
      </c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7" t="str">
        <f t="shared" si="56"/>
        <v/>
      </c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 t="str">
        <f t="shared" si="56"/>
        <v/>
      </c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 t="str">
        <f t="shared" si="56"/>
        <v/>
      </c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7" t="str">
        <f t="shared" si="56"/>
        <v/>
      </c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7" t="str">
        <f t="shared" si="56"/>
        <v/>
      </c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7" t="str">
        <f t="shared" si="56"/>
        <v/>
      </c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7" t="str">
        <f t="shared" si="56"/>
        <v/>
      </c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7" t="str">
        <f t="shared" si="56"/>
        <v/>
      </c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7" t="str">
        <f t="shared" si="56"/>
        <v/>
      </c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7" t="str">
        <f t="shared" si="56"/>
        <v/>
      </c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7" t="str">
        <f t="shared" si="56"/>
        <v/>
      </c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7" t="str">
        <f t="shared" si="56"/>
        <v/>
      </c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7" t="str">
        <f t="shared" si="56"/>
        <v/>
      </c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7" t="str">
        <f t="shared" si="56"/>
        <v/>
      </c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7" t="str">
        <f t="shared" si="56"/>
        <v/>
      </c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7" t="str">
        <f t="shared" si="56"/>
        <v/>
      </c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7" t="str">
        <f t="shared" si="56"/>
        <v/>
      </c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7" t="str">
        <f t="shared" si="56"/>
        <v/>
      </c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7" t="str">
        <f t="shared" si="56"/>
        <v/>
      </c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7" t="str">
        <f t="shared" si="56"/>
        <v/>
      </c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7" t="str">
        <f t="shared" si="56"/>
        <v/>
      </c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7" t="str">
        <f t="shared" si="56"/>
        <v/>
      </c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7" t="str">
        <f t="shared" si="56"/>
        <v/>
      </c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7" t="str">
        <f t="shared" si="56"/>
        <v/>
      </c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 t="str">
        <f t="shared" si="56"/>
        <v/>
      </c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7" t="str">
        <f t="shared" si="56"/>
        <v/>
      </c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7" t="str">
        <f t="shared" si="56"/>
        <v/>
      </c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7" t="str">
        <f t="shared" si="56"/>
        <v/>
      </c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7" t="str">
        <f t="shared" si="56"/>
        <v/>
      </c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7" t="str">
        <f t="shared" si="56"/>
        <v/>
      </c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7" t="str">
        <f t="shared" si="56"/>
        <v/>
      </c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7" t="str">
        <f t="shared" si="56"/>
        <v/>
      </c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7" t="str">
        <f t="shared" si="56"/>
        <v/>
      </c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7" t="str">
        <f t="shared" si="56"/>
        <v/>
      </c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7" t="str">
        <f t="shared" si="56"/>
        <v/>
      </c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7" t="str">
        <f t="shared" si="56"/>
        <v/>
      </c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7" t="str">
        <f t="shared" si="56"/>
        <v/>
      </c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7" t="str">
        <f t="shared" si="56"/>
        <v/>
      </c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7" t="str">
        <f t="shared" si="56"/>
        <v/>
      </c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7" t="str">
        <f t="shared" si="56"/>
        <v/>
      </c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7" t="str">
        <f t="shared" si="56"/>
        <v/>
      </c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7" t="str">
        <f t="shared" si="56"/>
        <v/>
      </c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7" t="str">
        <f t="shared" si="56"/>
        <v/>
      </c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7" t="str">
        <f t="shared" si="56"/>
        <v/>
      </c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7" t="str">
        <f t="shared" si="56"/>
        <v/>
      </c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7" t="str">
        <f t="shared" ref="O74:O99" si="57">IF(A74="","",IF(OR(B74="",C74="",D74="",E74="",F74="",G74="",H74="",I74="",J74="",K74="",L74="",M74="",N74=""),"需补充",IF(M74="未通过","禁止使用","正常")))</f>
        <v/>
      </c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7" t="str">
        <f t="shared" si="57"/>
        <v/>
      </c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7" t="str">
        <f t="shared" si="57"/>
        <v/>
      </c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7" t="str">
        <f t="shared" si="57"/>
        <v/>
      </c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7" t="str">
        <f t="shared" si="57"/>
        <v/>
      </c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7" t="str">
        <f t="shared" si="57"/>
        <v/>
      </c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7" t="str">
        <f t="shared" si="57"/>
        <v/>
      </c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7" t="str">
        <f t="shared" si="57"/>
        <v/>
      </c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7" t="str">
        <f t="shared" si="57"/>
        <v/>
      </c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7" t="str">
        <f t="shared" si="57"/>
        <v/>
      </c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7" t="str">
        <f t="shared" si="57"/>
        <v/>
      </c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7" t="str">
        <f t="shared" si="57"/>
        <v/>
      </c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7" t="str">
        <f t="shared" si="57"/>
        <v/>
      </c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7" t="str">
        <f t="shared" si="57"/>
        <v/>
      </c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7" t="str">
        <f t="shared" si="57"/>
        <v/>
      </c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7" t="str">
        <f t="shared" si="57"/>
        <v/>
      </c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7" t="str">
        <f t="shared" si="57"/>
        <v/>
      </c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7" t="str">
        <f t="shared" si="57"/>
        <v/>
      </c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7" t="str">
        <f t="shared" si="57"/>
        <v/>
      </c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7" t="str">
        <f t="shared" si="57"/>
        <v/>
      </c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7" t="str">
        <f t="shared" si="57"/>
        <v/>
      </c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7" t="str">
        <f t="shared" si="57"/>
        <v/>
      </c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7" t="str">
        <f t="shared" si="57"/>
        <v/>
      </c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7" t="str">
        <f t="shared" si="57"/>
        <v/>
      </c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7" t="str">
        <f t="shared" si="57"/>
        <v/>
      </c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7" t="str">
        <f t="shared" si="57"/>
        <v/>
      </c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7" t="str">
        <f t="shared" ref="O100:O163" si="58">IF(A100="","",IF(OR(B100="",C100="",D100="",E100="",F100="",G100="",H100="",I100="",J100="",K100="",L100="",M100="",N100=""),"需补充",IF(M100="未通过","禁止使用","正常")))</f>
        <v/>
      </c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7" t="str">
        <f t="shared" si="58"/>
        <v/>
      </c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7" t="str">
        <f t="shared" si="58"/>
        <v/>
      </c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7" t="str">
        <f t="shared" si="58"/>
        <v/>
      </c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7" t="str">
        <f t="shared" si="58"/>
        <v/>
      </c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7" t="str">
        <f t="shared" si="58"/>
        <v/>
      </c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7" t="str">
        <f t="shared" si="58"/>
        <v/>
      </c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7" t="str">
        <f t="shared" si="58"/>
        <v/>
      </c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7" t="str">
        <f t="shared" si="58"/>
        <v/>
      </c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7" t="str">
        <f t="shared" si="58"/>
        <v/>
      </c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7" t="str">
        <f t="shared" si="58"/>
        <v/>
      </c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7" t="str">
        <f t="shared" si="58"/>
        <v/>
      </c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7" t="str">
        <f t="shared" si="58"/>
        <v/>
      </c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7" t="str">
        <f t="shared" si="58"/>
        <v/>
      </c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7" t="str">
        <f t="shared" si="58"/>
        <v/>
      </c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7" t="str">
        <f t="shared" si="58"/>
        <v/>
      </c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7" t="str">
        <f t="shared" si="58"/>
        <v/>
      </c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7" t="str">
        <f t="shared" si="58"/>
        <v/>
      </c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7" t="str">
        <f t="shared" si="58"/>
        <v/>
      </c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7" t="str">
        <f t="shared" si="58"/>
        <v/>
      </c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7" t="str">
        <f t="shared" si="58"/>
        <v/>
      </c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7" t="str">
        <f t="shared" si="58"/>
        <v/>
      </c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7" t="str">
        <f t="shared" si="58"/>
        <v/>
      </c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7" t="str">
        <f t="shared" si="58"/>
        <v/>
      </c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7" t="str">
        <f t="shared" si="58"/>
        <v/>
      </c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7" t="str">
        <f t="shared" si="58"/>
        <v/>
      </c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7" t="str">
        <f t="shared" si="58"/>
        <v/>
      </c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7" t="str">
        <f t="shared" si="58"/>
        <v/>
      </c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7" t="str">
        <f t="shared" si="58"/>
        <v/>
      </c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7" t="str">
        <f t="shared" si="58"/>
        <v/>
      </c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7" t="str">
        <f t="shared" si="58"/>
        <v/>
      </c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7" t="str">
        <f t="shared" si="58"/>
        <v/>
      </c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7" t="str">
        <f t="shared" si="58"/>
        <v/>
      </c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7" t="str">
        <f t="shared" si="58"/>
        <v/>
      </c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7" t="str">
        <f t="shared" si="58"/>
        <v/>
      </c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7" t="str">
        <f t="shared" si="58"/>
        <v/>
      </c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7" t="str">
        <f t="shared" si="58"/>
        <v/>
      </c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7" t="str">
        <f t="shared" si="58"/>
        <v/>
      </c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7" t="str">
        <f t="shared" si="58"/>
        <v/>
      </c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7" t="str">
        <f t="shared" si="58"/>
        <v/>
      </c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7" t="str">
        <f t="shared" si="58"/>
        <v/>
      </c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7" t="str">
        <f t="shared" si="58"/>
        <v/>
      </c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7" t="str">
        <f t="shared" si="58"/>
        <v/>
      </c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7" t="str">
        <f t="shared" si="58"/>
        <v/>
      </c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7" t="str">
        <f t="shared" si="58"/>
        <v/>
      </c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7" t="str">
        <f t="shared" si="58"/>
        <v/>
      </c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7" t="str">
        <f t="shared" si="58"/>
        <v/>
      </c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7" t="str">
        <f t="shared" si="58"/>
        <v/>
      </c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7" t="str">
        <f t="shared" si="58"/>
        <v/>
      </c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7" t="str">
        <f t="shared" si="58"/>
        <v/>
      </c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7" t="str">
        <f t="shared" si="58"/>
        <v/>
      </c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7" t="str">
        <f t="shared" si="58"/>
        <v/>
      </c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7" t="str">
        <f t="shared" si="58"/>
        <v/>
      </c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7" t="str">
        <f t="shared" si="58"/>
        <v/>
      </c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7" t="str">
        <f t="shared" si="58"/>
        <v/>
      </c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7" t="str">
        <f t="shared" si="58"/>
        <v/>
      </c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7" t="str">
        <f t="shared" si="58"/>
        <v/>
      </c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7" t="str">
        <f t="shared" si="58"/>
        <v/>
      </c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7" t="str">
        <f t="shared" si="58"/>
        <v/>
      </c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7" t="str">
        <f t="shared" si="58"/>
        <v/>
      </c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7" t="str">
        <f t="shared" si="58"/>
        <v/>
      </c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7" t="str">
        <f t="shared" si="58"/>
        <v/>
      </c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7" t="str">
        <f t="shared" si="58"/>
        <v/>
      </c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7" t="str">
        <f t="shared" si="58"/>
        <v/>
      </c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7" t="str">
        <f t="shared" ref="O164:O201" si="59">IF(A164="","",IF(OR(B164="",C164="",D164="",E164="",F164="",G164="",H164="",I164="",J164="",K164="",L164="",M164="",N164=""),"需补充",IF(M164="未通过","禁止使用","正常")))</f>
        <v/>
      </c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7" t="str">
        <f t="shared" si="59"/>
        <v/>
      </c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7" t="str">
        <f t="shared" si="59"/>
        <v/>
      </c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7" t="str">
        <f t="shared" si="59"/>
        <v/>
      </c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7" t="str">
        <f t="shared" si="59"/>
        <v/>
      </c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7" t="str">
        <f t="shared" si="59"/>
        <v/>
      </c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7" t="str">
        <f t="shared" si="59"/>
        <v/>
      </c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7" t="str">
        <f t="shared" si="59"/>
        <v/>
      </c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7" t="str">
        <f t="shared" si="59"/>
        <v/>
      </c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7" t="str">
        <f t="shared" si="59"/>
        <v/>
      </c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7" t="str">
        <f t="shared" si="59"/>
        <v/>
      </c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7" t="str">
        <f t="shared" si="59"/>
        <v/>
      </c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7" t="str">
        <f t="shared" si="59"/>
        <v/>
      </c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7" t="str">
        <f t="shared" si="59"/>
        <v/>
      </c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7" t="str">
        <f t="shared" si="59"/>
        <v/>
      </c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7" t="str">
        <f t="shared" si="59"/>
        <v/>
      </c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7" t="str">
        <f t="shared" si="59"/>
        <v/>
      </c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7" t="str">
        <f t="shared" si="59"/>
        <v/>
      </c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7" t="str">
        <f t="shared" si="59"/>
        <v/>
      </c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7" t="str">
        <f t="shared" si="59"/>
        <v/>
      </c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7" t="str">
        <f t="shared" si="59"/>
        <v/>
      </c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7" t="str">
        <f t="shared" si="59"/>
        <v/>
      </c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7" t="str">
        <f t="shared" si="59"/>
        <v/>
      </c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7" t="str">
        <f t="shared" si="59"/>
        <v/>
      </c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7" t="str">
        <f t="shared" si="59"/>
        <v/>
      </c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7" t="str">
        <f t="shared" si="59"/>
        <v/>
      </c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7" t="str">
        <f t="shared" si="59"/>
        <v/>
      </c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7" t="str">
        <f t="shared" si="59"/>
        <v/>
      </c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7" t="str">
        <f t="shared" si="59"/>
        <v/>
      </c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7" t="str">
        <f t="shared" si="59"/>
        <v/>
      </c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7" t="str">
        <f t="shared" si="59"/>
        <v/>
      </c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7" t="str">
        <f t="shared" si="59"/>
        <v/>
      </c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7" t="str">
        <f t="shared" si="59"/>
        <v/>
      </c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7" t="str">
        <f t="shared" si="59"/>
        <v/>
      </c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7" t="str">
        <f t="shared" si="59"/>
        <v/>
      </c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7" t="str">
        <f t="shared" si="59"/>
        <v/>
      </c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7" t="str">
        <f t="shared" si="59"/>
        <v/>
      </c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7" t="str">
        <f t="shared" si="59"/>
        <v/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正常" id="{30A1ADB2-825D-486F-8DD2-91BEC39FA1E5}">
            <x14:dxf>
              <font>
                <b/>
                <color rgb="FF256029"/>
              </font>
              <fill>
                <patternFill patternType="solid">
                  <fgColor rgb="FFE2F0D9"/>
                  <bgColor rgb="FFE2F0D9"/>
                </patternFill>
              </fill>
            </x14:dxf>
          </x14:cfRule>
          <xm:sqref>O2:O201</xm:sqref>
        </x14:conditionalFormatting>
        <x14:conditionalFormatting xmlns:xm="http://schemas.microsoft.com/office/excel/2006/main">
          <x14:cfRule type="containsText" priority="2" operator="containsText" text="待冻结" id="{F5A8330A-2081-4084-A48C-E8164C87716F}">
            <x14:dxf>
              <font>
                <b/>
                <color rgb="FF8A4B08"/>
              </font>
              <fill>
                <patternFill patternType="solid">
                  <fgColor rgb="FFFFF4CC"/>
                  <bgColor rgb="FFFFF4CC"/>
                </patternFill>
              </fill>
            </x14:dxf>
          </x14:cfRule>
          <xm:sqref>O2:O201</xm:sqref>
        </x14:conditionalFormatting>
        <x14:conditionalFormatting xmlns:xm="http://schemas.microsoft.com/office/excel/2006/main">
          <x14:cfRule type="containsText" priority="3" operator="containsText" text="需" id="{789FDD8C-743F-49F1-AA59-A380FD90F38B}">
            <x14:dxf>
              <font>
                <b/>
                <color rgb="FFB42318"/>
              </font>
              <fill>
                <patternFill patternType="solid">
                  <fgColor rgb="FFFCE8E6"/>
                  <bgColor rgb="FFFCE8E6"/>
                </patternFill>
              </fill>
            </x14:dxf>
          </x14:cfRule>
          <xm:sqref>O2:O201</xm:sqref>
        </x14:conditionalFormatting>
        <x14:conditionalFormatting xmlns:xm="http://schemas.microsoft.com/office/excel/2006/main">
          <x14:cfRule type="containsText" priority="4" operator="containsText" text="禁止" id="{57157117-36D3-4A06-BD6B-2918D38ED935}">
            <x14:dxf>
              <font>
                <b/>
                <color rgb="FFB42318"/>
              </font>
              <fill>
                <patternFill patternType="solid">
                  <fgColor rgb="FFFCE8E6"/>
                  <bgColor rgb="FFFCE8E6"/>
                </patternFill>
              </fill>
            </x14:dxf>
          </x14:cfRule>
          <xm:sqref>O2:O201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2A436BF4-2E51-4F29-A871-49647A847438}" type="list" allowBlank="0" errorStyle="stop" imeMode="noControl" operator="between" showDropDown="0" showErrorMessage="0" showInputMessage="0">
          <x14:formula1>
            <xm:f>"熟悉材料,初始编码,主题发展,主题复核,分析写作"</xm:f>
          </x14:formula1>
          <xm:sqref>B2:B201</xm:sqref>
        </x14:dataValidation>
        <x14:dataValidation xr:uid="{0363333C-11E7-4E32-93DE-CAB4496C4923}" type="list" allowBlank="0" errorStyle="stop" imeMode="noControl" operator="between" showDropDown="0" showErrorMessage="0" showInputMessage="0">
          <x14:formula1>
            <xm:f>"仅元数据,去标识化摘录,代码清单,主题摘要,其他"</xm:f>
          </x14:formula1>
          <xm:sqref>C2:C201</xm:sqref>
        </x14:dataValidation>
        <x14:dataValidation xr:uid="{2A77BA32-881B-40DA-9E3A-6CB0F1B9AEE2}" type="list" allowBlank="0" errorStyle="stop" imeMode="noControl" operator="between" showDropDown="0" showErrorMessage="0" showInputMessage="0">
          <x14:formula1>
            <xm:f>"采纳,部分采纳,拒绝"</xm:f>
          </x14:formula1>
          <xm:sqref>H2:H201</xm:sqref>
        </x14:dataValidation>
        <x14:dataValidation xr:uid="{1546E849-ED41-45C7-9581-380B90CCE555}" type="list" allowBlank="0" errorStyle="stop" imeMode="noControl" operator="between" showDropDown="0" showErrorMessage="0" showInputMessage="0">
          <x14:formula1>
            <xm:f>"通过,未通过,不适用"</xm:f>
          </x14:formula1>
          <xm:sqref>M2:M201</xm:sqref>
        </x14:dataValidation>
        <x14:dataValidation xr:uid="{38804456-7BFC-44B7-9272-9F31049F1EA8}" type="list" allowBlank="0" errorStyle="stop" imeMode="noControl" operator="between" showDropDown="0" showErrorMessage="0" showInputMessage="0">
          <x14:formula1>
            <xm:f>"正常,需补充,禁止使用"</xm:f>
          </x14:formula1>
          <xm:sqref>O2:O201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4.25"/>
  <cols>
    <col customWidth="1" min="1" max="1" width="22"/>
    <col customWidth="1" min="2" max="2" width="28"/>
    <col customWidth="1" min="3" max="3" width="16"/>
    <col customWidth="1" min="4" max="4" width="38"/>
    <col customWidth="1" min="5" max="5" width="54"/>
  </cols>
  <sheetData>
    <row r="1">
      <c r="A1" s="26" t="s">
        <v>25</v>
      </c>
      <c r="B1" s="26" t="s">
        <v>132</v>
      </c>
      <c r="C1" s="26" t="s">
        <v>225</v>
      </c>
      <c r="D1" s="26" t="s">
        <v>226</v>
      </c>
      <c r="E1" s="26" t="s">
        <v>227</v>
      </c>
    </row>
    <row r="2">
      <c r="A2" s="26" t="s">
        <v>25</v>
      </c>
      <c r="B2" s="26" t="s">
        <v>133</v>
      </c>
      <c r="C2" s="26" t="s">
        <v>225</v>
      </c>
      <c r="D2" s="26" t="s">
        <v>226</v>
      </c>
      <c r="E2" s="26" t="s">
        <v>228</v>
      </c>
    </row>
    <row r="3">
      <c r="A3" s="26" t="s">
        <v>25</v>
      </c>
      <c r="B3" s="26" t="s">
        <v>134</v>
      </c>
      <c r="C3" s="26" t="s">
        <v>225</v>
      </c>
      <c r="D3" s="26" t="s">
        <v>229</v>
      </c>
      <c r="E3" s="26" t="s">
        <v>230</v>
      </c>
    </row>
    <row r="4">
      <c r="A4" s="26" t="s">
        <v>25</v>
      </c>
      <c r="B4" s="26" t="s">
        <v>135</v>
      </c>
      <c r="C4" s="26" t="s">
        <v>225</v>
      </c>
      <c r="D4" s="26" t="s">
        <v>229</v>
      </c>
      <c r="E4" s="26" t="s">
        <v>231</v>
      </c>
    </row>
    <row r="5">
      <c r="A5" s="26" t="s">
        <v>38</v>
      </c>
      <c r="B5" s="26" t="s">
        <v>162</v>
      </c>
      <c r="C5" s="26" t="s">
        <v>232</v>
      </c>
      <c r="D5" s="26" t="s">
        <v>226</v>
      </c>
      <c r="E5" s="26" t="s">
        <v>233</v>
      </c>
    </row>
    <row r="6">
      <c r="A6" s="26" t="s">
        <v>38</v>
      </c>
      <c r="B6" s="26" t="s">
        <v>163</v>
      </c>
      <c r="C6" s="26" t="s">
        <v>232</v>
      </c>
      <c r="D6" s="26" t="s">
        <v>226</v>
      </c>
      <c r="E6" s="26" t="s">
        <v>234</v>
      </c>
    </row>
    <row r="7">
      <c r="A7" s="26" t="s">
        <v>38</v>
      </c>
      <c r="B7" s="26" t="s">
        <v>166</v>
      </c>
      <c r="C7" s="26" t="s">
        <v>232</v>
      </c>
      <c r="D7" s="26" t="s">
        <v>235</v>
      </c>
      <c r="E7" s="26" t="s">
        <v>236</v>
      </c>
    </row>
    <row r="8">
      <c r="A8" s="26" t="s">
        <v>38</v>
      </c>
      <c r="B8" s="26" t="s">
        <v>167</v>
      </c>
      <c r="C8" s="26" t="s">
        <v>232</v>
      </c>
      <c r="D8" s="26" t="s">
        <v>237</v>
      </c>
      <c r="E8" s="26" t="s">
        <v>238</v>
      </c>
    </row>
    <row r="9">
      <c r="A9" s="26" t="s">
        <v>12</v>
      </c>
      <c r="B9" s="26" t="s">
        <v>112</v>
      </c>
      <c r="C9" s="26" t="s">
        <v>239</v>
      </c>
      <c r="D9" s="26" t="s">
        <v>240</v>
      </c>
      <c r="E9" s="26" t="s">
        <v>241</v>
      </c>
    </row>
    <row r="10">
      <c r="A10" s="26" t="s">
        <v>19</v>
      </c>
      <c r="B10" s="26" t="s">
        <v>112</v>
      </c>
      <c r="C10" s="26" t="s">
        <v>239</v>
      </c>
      <c r="D10" s="26" t="s">
        <v>242</v>
      </c>
      <c r="E10" s="26" t="s">
        <v>243</v>
      </c>
    </row>
    <row r="11">
      <c r="A11" s="26" t="s">
        <v>25</v>
      </c>
      <c r="B11" s="26" t="s">
        <v>112</v>
      </c>
      <c r="C11" s="26" t="s">
        <v>239</v>
      </c>
      <c r="D11" s="26" t="s">
        <v>242</v>
      </c>
      <c r="E11" s="26" t="s">
        <v>244</v>
      </c>
    </row>
    <row r="12">
      <c r="A12" s="26" t="s">
        <v>32</v>
      </c>
      <c r="B12" s="26" t="s">
        <v>112</v>
      </c>
      <c r="C12" s="26" t="s">
        <v>239</v>
      </c>
      <c r="D12" s="26" t="s">
        <v>245</v>
      </c>
      <c r="E12" s="26" t="s">
        <v>246</v>
      </c>
    </row>
    <row r="13">
      <c r="A13" s="26" t="s">
        <v>38</v>
      </c>
      <c r="B13" s="26" t="s">
        <v>172</v>
      </c>
      <c r="C13" s="26" t="s">
        <v>239</v>
      </c>
      <c r="D13" s="26" t="s">
        <v>247</v>
      </c>
      <c r="E13" s="26" t="s">
        <v>248</v>
      </c>
    </row>
    <row r="14">
      <c r="A14" s="26" t="s">
        <v>38</v>
      </c>
      <c r="B14" s="26" t="s">
        <v>173</v>
      </c>
      <c r="C14" s="26" t="s">
        <v>239</v>
      </c>
      <c r="D14" s="26" t="s">
        <v>247</v>
      </c>
      <c r="E14" s="26" t="s">
        <v>249</v>
      </c>
    </row>
    <row r="15">
      <c r="A15" s="26" t="s">
        <v>38</v>
      </c>
      <c r="B15" s="26" t="s">
        <v>112</v>
      </c>
      <c r="C15" s="26" t="s">
        <v>239</v>
      </c>
      <c r="D15" s="26" t="s">
        <v>242</v>
      </c>
      <c r="E15" s="26" t="s">
        <v>250</v>
      </c>
    </row>
    <row r="16">
      <c r="A16" s="26" t="s">
        <v>251</v>
      </c>
      <c r="B16" s="26" t="s">
        <v>112</v>
      </c>
      <c r="C16" s="26" t="s">
        <v>239</v>
      </c>
      <c r="D16" s="26" t="s">
        <v>240</v>
      </c>
      <c r="E16" s="26" t="s">
        <v>252</v>
      </c>
    </row>
    <row r="17">
      <c r="A17" s="26" t="s">
        <v>253</v>
      </c>
      <c r="B17" s="26" t="s">
        <v>112</v>
      </c>
      <c r="C17" s="26" t="s">
        <v>239</v>
      </c>
      <c r="D17" s="26" t="s">
        <v>254</v>
      </c>
      <c r="E17" s="26" t="s">
        <v>255</v>
      </c>
    </row>
    <row r="18">
      <c r="A18" s="26" t="s">
        <v>256</v>
      </c>
      <c r="B18" s="26" t="s">
        <v>112</v>
      </c>
      <c r="C18" s="26" t="s">
        <v>239</v>
      </c>
      <c r="D18" s="26" t="s">
        <v>240</v>
      </c>
      <c r="E18" s="26" t="s">
        <v>257</v>
      </c>
    </row>
    <row r="19">
      <c r="A19" s="26" t="s">
        <v>258</v>
      </c>
      <c r="B19" s="26" t="s">
        <v>112</v>
      </c>
      <c r="C19" s="26" t="s">
        <v>239</v>
      </c>
      <c r="D19" s="26" t="s">
        <v>240</v>
      </c>
      <c r="E19" s="26" t="s">
        <v>259</v>
      </c>
    </row>
    <row r="20">
      <c r="A20" s="26" t="s">
        <v>260</v>
      </c>
      <c r="B20" s="26" t="s">
        <v>112</v>
      </c>
      <c r="C20" s="26" t="s">
        <v>239</v>
      </c>
      <c r="D20" s="26" t="s">
        <v>261</v>
      </c>
      <c r="E20" s="26" t="s">
        <v>262</v>
      </c>
    </row>
    <row r="21">
      <c r="A21" s="26" t="s">
        <v>25</v>
      </c>
      <c r="B21" s="26" t="s">
        <v>139</v>
      </c>
      <c r="C21" s="26" t="s">
        <v>263</v>
      </c>
      <c r="D21" s="26" t="s">
        <v>264</v>
      </c>
      <c r="E21" s="26" t="s">
        <v>265</v>
      </c>
    </row>
    <row r="22">
      <c r="A22" s="26" t="s">
        <v>38</v>
      </c>
      <c r="B22" s="26" t="s">
        <v>169</v>
      </c>
      <c r="C22" s="26" t="s">
        <v>263</v>
      </c>
      <c r="D22" s="26" t="s">
        <v>264</v>
      </c>
      <c r="E22" s="26" t="s">
        <v>266</v>
      </c>
    </row>
    <row r="23">
      <c r="A23" s="26" t="s">
        <v>12</v>
      </c>
      <c r="B23" s="26" t="s">
        <v>104</v>
      </c>
      <c r="C23" s="26" t="s">
        <v>267</v>
      </c>
      <c r="D23" s="26" t="s">
        <v>226</v>
      </c>
      <c r="E23" s="26" t="s">
        <v>268</v>
      </c>
    </row>
    <row r="24">
      <c r="A24" s="26" t="s">
        <v>12</v>
      </c>
      <c r="B24" s="26" t="s">
        <v>110</v>
      </c>
      <c r="C24" s="26" t="s">
        <v>267</v>
      </c>
      <c r="D24" s="26" t="s">
        <v>269</v>
      </c>
      <c r="E24" s="26" t="s">
        <v>270</v>
      </c>
    </row>
    <row r="25">
      <c r="A25" s="26" t="s">
        <v>12</v>
      </c>
      <c r="B25" s="26" t="s">
        <v>11</v>
      </c>
      <c r="C25" s="26" t="s">
        <v>267</v>
      </c>
      <c r="D25" s="26" t="s">
        <v>226</v>
      </c>
      <c r="E25" s="26" t="s">
        <v>271</v>
      </c>
    </row>
    <row r="26">
      <c r="A26" s="26" t="s">
        <v>19</v>
      </c>
      <c r="B26" s="26" t="s">
        <v>118</v>
      </c>
      <c r="C26" s="26" t="s">
        <v>267</v>
      </c>
      <c r="D26" s="26" t="s">
        <v>226</v>
      </c>
      <c r="E26" s="26" t="s">
        <v>272</v>
      </c>
    </row>
    <row r="27">
      <c r="A27" s="26" t="s">
        <v>19</v>
      </c>
      <c r="B27" s="26" t="s">
        <v>119</v>
      </c>
      <c r="C27" s="26" t="s">
        <v>267</v>
      </c>
      <c r="D27" s="26" t="s">
        <v>226</v>
      </c>
      <c r="E27" s="26" t="s">
        <v>273</v>
      </c>
    </row>
    <row r="28">
      <c r="A28" s="26" t="s">
        <v>19</v>
      </c>
      <c r="B28" s="26" t="s">
        <v>120</v>
      </c>
      <c r="C28" s="26" t="s">
        <v>267</v>
      </c>
      <c r="D28" s="26" t="s">
        <v>226</v>
      </c>
      <c r="E28" s="26" t="s">
        <v>274</v>
      </c>
    </row>
    <row r="29">
      <c r="A29" s="26" t="s">
        <v>19</v>
      </c>
      <c r="B29" s="26" t="s">
        <v>121</v>
      </c>
      <c r="C29" s="26" t="s">
        <v>267</v>
      </c>
      <c r="D29" s="26" t="s">
        <v>226</v>
      </c>
      <c r="E29" s="26" t="s">
        <v>275</v>
      </c>
    </row>
    <row r="30">
      <c r="A30" s="26" t="s">
        <v>19</v>
      </c>
      <c r="B30" s="26" t="s">
        <v>122</v>
      </c>
      <c r="C30" s="26" t="s">
        <v>267</v>
      </c>
      <c r="D30" s="26" t="s">
        <v>226</v>
      </c>
      <c r="E30" s="26" t="s">
        <v>276</v>
      </c>
    </row>
    <row r="31">
      <c r="A31" s="26" t="s">
        <v>19</v>
      </c>
      <c r="B31" s="26" t="s">
        <v>124</v>
      </c>
      <c r="C31" s="26" t="s">
        <v>267</v>
      </c>
      <c r="D31" s="26" t="s">
        <v>226</v>
      </c>
      <c r="E31" s="26" t="s">
        <v>277</v>
      </c>
    </row>
    <row r="32">
      <c r="A32" s="26" t="s">
        <v>25</v>
      </c>
      <c r="B32" s="26" t="s">
        <v>136</v>
      </c>
      <c r="C32" s="26" t="s">
        <v>267</v>
      </c>
      <c r="D32" s="26" t="s">
        <v>264</v>
      </c>
      <c r="E32" s="26" t="s">
        <v>278</v>
      </c>
    </row>
    <row r="33">
      <c r="A33" s="26" t="s">
        <v>25</v>
      </c>
      <c r="B33" s="26" t="s">
        <v>138</v>
      </c>
      <c r="C33" s="26" t="s">
        <v>267</v>
      </c>
      <c r="D33" s="26" t="s">
        <v>279</v>
      </c>
      <c r="E33" s="26" t="s">
        <v>280</v>
      </c>
    </row>
    <row r="34">
      <c r="A34" s="26" t="s">
        <v>38</v>
      </c>
      <c r="B34" s="26" t="s">
        <v>165</v>
      </c>
      <c r="C34" s="26" t="s">
        <v>267</v>
      </c>
      <c r="D34" s="26" t="s">
        <v>226</v>
      </c>
      <c r="E34" s="26" t="s">
        <v>281</v>
      </c>
    </row>
    <row r="35">
      <c r="A35" s="26" t="s">
        <v>256</v>
      </c>
      <c r="B35" s="26" t="s">
        <v>198</v>
      </c>
      <c r="C35" s="26" t="s">
        <v>267</v>
      </c>
      <c r="D35" s="26" t="s">
        <v>282</v>
      </c>
      <c r="E35" s="26" t="s">
        <v>283</v>
      </c>
    </row>
    <row r="36">
      <c r="A36" s="26" t="s">
        <v>256</v>
      </c>
      <c r="B36" s="26" t="s">
        <v>200</v>
      </c>
      <c r="C36" s="26" t="s">
        <v>267</v>
      </c>
      <c r="D36" s="26" t="s">
        <v>279</v>
      </c>
      <c r="E36" s="26" t="s">
        <v>284</v>
      </c>
    </row>
    <row r="37">
      <c r="A37" s="26" t="s">
        <v>258</v>
      </c>
      <c r="B37" s="26" t="s">
        <v>206</v>
      </c>
      <c r="C37" s="26" t="s">
        <v>267</v>
      </c>
      <c r="D37" s="26" t="s">
        <v>285</v>
      </c>
      <c r="E37" s="26" t="s">
        <v>286</v>
      </c>
    </row>
    <row r="38">
      <c r="A38" s="26" t="s">
        <v>258</v>
      </c>
      <c r="B38" s="26" t="s">
        <v>207</v>
      </c>
      <c r="C38" s="26" t="s">
        <v>287</v>
      </c>
      <c r="D38" s="26" t="s">
        <v>285</v>
      </c>
      <c r="E38" s="26" t="s">
        <v>288</v>
      </c>
    </row>
    <row r="39">
      <c r="A39" s="26" t="s">
        <v>32</v>
      </c>
      <c r="B39" s="26" t="s">
        <v>152</v>
      </c>
      <c r="C39" s="26" t="s">
        <v>289</v>
      </c>
      <c r="D39" s="26" t="s">
        <v>226</v>
      </c>
      <c r="E39" s="26" t="s">
        <v>290</v>
      </c>
    </row>
    <row r="40">
      <c r="A40" s="26" t="s">
        <v>38</v>
      </c>
      <c r="B40" s="26" t="s">
        <v>164</v>
      </c>
      <c r="C40" s="26" t="s">
        <v>289</v>
      </c>
      <c r="D40" s="26" t="s">
        <v>226</v>
      </c>
      <c r="E40" s="26" t="s">
        <v>291</v>
      </c>
    </row>
    <row r="41">
      <c r="A41" s="28" t="s">
        <v>5</v>
      </c>
      <c r="B41" s="28" t="s">
        <v>292</v>
      </c>
      <c r="C41" s="28" t="s">
        <v>293</v>
      </c>
      <c r="D41" s="28" t="s">
        <v>294</v>
      </c>
      <c r="E41" s="28" t="s">
        <v>295</v>
      </c>
    </row>
    <row r="42">
      <c r="A42" s="26" t="s">
        <v>12</v>
      </c>
      <c r="B42" s="26" t="s">
        <v>98</v>
      </c>
      <c r="C42" s="26" t="s">
        <v>296</v>
      </c>
      <c r="D42" s="26" t="s">
        <v>297</v>
      </c>
      <c r="E42" s="26" t="s">
        <v>298</v>
      </c>
    </row>
    <row r="43">
      <c r="A43" s="26" t="s">
        <v>12</v>
      </c>
      <c r="B43" s="26" t="s">
        <v>99</v>
      </c>
      <c r="C43" s="26" t="s">
        <v>296</v>
      </c>
      <c r="D43" s="26" t="s">
        <v>299</v>
      </c>
      <c r="E43" s="26" t="s">
        <v>300</v>
      </c>
    </row>
    <row r="44">
      <c r="A44" s="26" t="s">
        <v>12</v>
      </c>
      <c r="B44" s="26" t="s">
        <v>100</v>
      </c>
      <c r="C44" s="26" t="s">
        <v>296</v>
      </c>
      <c r="D44" s="26" t="s">
        <v>301</v>
      </c>
      <c r="E44" s="26" t="s">
        <v>302</v>
      </c>
    </row>
    <row r="45" ht="28.5">
      <c r="A45" s="26" t="s">
        <v>12</v>
      </c>
      <c r="B45" s="26" t="s">
        <v>101</v>
      </c>
      <c r="C45" s="26" t="s">
        <v>296</v>
      </c>
      <c r="D45" s="26" t="s">
        <v>303</v>
      </c>
      <c r="E45" s="26" t="s">
        <v>304</v>
      </c>
    </row>
    <row r="46">
      <c r="A46" s="26" t="s">
        <v>12</v>
      </c>
      <c r="B46" s="26" t="s">
        <v>102</v>
      </c>
      <c r="C46" s="26" t="s">
        <v>296</v>
      </c>
      <c r="D46" s="26" t="s">
        <v>305</v>
      </c>
      <c r="E46" s="26" t="s">
        <v>306</v>
      </c>
    </row>
    <row r="47">
      <c r="A47" s="26" t="s">
        <v>12</v>
      </c>
      <c r="B47" s="26" t="s">
        <v>103</v>
      </c>
      <c r="C47" s="26" t="s">
        <v>296</v>
      </c>
      <c r="D47" s="26" t="s">
        <v>307</v>
      </c>
      <c r="E47" s="26" t="s">
        <v>308</v>
      </c>
    </row>
    <row r="48">
      <c r="A48" s="26" t="s">
        <v>12</v>
      </c>
      <c r="B48" s="26" t="s">
        <v>105</v>
      </c>
      <c r="C48" s="26" t="s">
        <v>296</v>
      </c>
      <c r="D48" s="26" t="s">
        <v>309</v>
      </c>
      <c r="E48" s="26" t="s">
        <v>310</v>
      </c>
    </row>
    <row r="49">
      <c r="A49" s="26" t="s">
        <v>12</v>
      </c>
      <c r="B49" s="26" t="s">
        <v>106</v>
      </c>
      <c r="C49" s="26" t="s">
        <v>296</v>
      </c>
      <c r="D49" s="26" t="s">
        <v>226</v>
      </c>
      <c r="E49" s="26" t="s">
        <v>311</v>
      </c>
    </row>
    <row r="50">
      <c r="A50" s="26" t="s">
        <v>12</v>
      </c>
      <c r="B50" s="26" t="s">
        <v>107</v>
      </c>
      <c r="C50" s="26" t="s">
        <v>296</v>
      </c>
      <c r="D50" s="26" t="s">
        <v>285</v>
      </c>
      <c r="E50" s="26" t="s">
        <v>312</v>
      </c>
    </row>
    <row r="51">
      <c r="A51" s="26" t="s">
        <v>12</v>
      </c>
      <c r="B51" s="26" t="s">
        <v>108</v>
      </c>
      <c r="C51" s="26" t="s">
        <v>296</v>
      </c>
      <c r="D51" s="26" t="s">
        <v>313</v>
      </c>
      <c r="E51" s="26" t="s">
        <v>314</v>
      </c>
    </row>
    <row r="52">
      <c r="A52" s="26" t="s">
        <v>12</v>
      </c>
      <c r="B52" s="26" t="s">
        <v>109</v>
      </c>
      <c r="C52" s="26" t="s">
        <v>296</v>
      </c>
      <c r="D52" s="26" t="s">
        <v>315</v>
      </c>
      <c r="E52" s="26" t="s">
        <v>316</v>
      </c>
    </row>
    <row r="53">
      <c r="A53" s="26" t="s">
        <v>12</v>
      </c>
      <c r="B53" s="26" t="s">
        <v>111</v>
      </c>
      <c r="C53" s="26" t="s">
        <v>296</v>
      </c>
      <c r="D53" s="26" t="s">
        <v>285</v>
      </c>
      <c r="E53" s="26" t="s">
        <v>317</v>
      </c>
    </row>
    <row r="54">
      <c r="A54" s="26" t="s">
        <v>19</v>
      </c>
      <c r="B54" s="26" t="s">
        <v>113</v>
      </c>
      <c r="C54" s="26" t="s">
        <v>296</v>
      </c>
      <c r="D54" s="26" t="s">
        <v>297</v>
      </c>
      <c r="E54" s="26" t="s">
        <v>318</v>
      </c>
    </row>
    <row r="55">
      <c r="A55" s="26" t="s">
        <v>19</v>
      </c>
      <c r="B55" s="26" t="s">
        <v>98</v>
      </c>
      <c r="C55" s="26" t="s">
        <v>296</v>
      </c>
      <c r="D55" s="26" t="s">
        <v>319</v>
      </c>
      <c r="E55" s="26" t="s">
        <v>320</v>
      </c>
    </row>
    <row r="56">
      <c r="A56" s="26" t="s">
        <v>19</v>
      </c>
      <c r="B56" s="26" t="s">
        <v>99</v>
      </c>
      <c r="C56" s="26" t="s">
        <v>296</v>
      </c>
      <c r="D56" s="26" t="s">
        <v>299</v>
      </c>
      <c r="E56" s="26" t="s">
        <v>321</v>
      </c>
    </row>
    <row r="57">
      <c r="A57" s="26" t="s">
        <v>19</v>
      </c>
      <c r="B57" s="26" t="s">
        <v>114</v>
      </c>
      <c r="C57" s="26" t="s">
        <v>296</v>
      </c>
      <c r="D57" s="26" t="s">
        <v>322</v>
      </c>
      <c r="E57" s="26" t="s">
        <v>323</v>
      </c>
    </row>
    <row r="58">
      <c r="A58" s="26" t="s">
        <v>19</v>
      </c>
      <c r="B58" s="26" t="s">
        <v>115</v>
      </c>
      <c r="C58" s="26" t="s">
        <v>296</v>
      </c>
      <c r="D58" s="26" t="s">
        <v>324</v>
      </c>
      <c r="E58" s="26" t="s">
        <v>325</v>
      </c>
    </row>
    <row r="59">
      <c r="A59" s="26" t="s">
        <v>19</v>
      </c>
      <c r="B59" s="26" t="s">
        <v>116</v>
      </c>
      <c r="C59" s="26" t="s">
        <v>296</v>
      </c>
      <c r="D59" s="26" t="s">
        <v>315</v>
      </c>
      <c r="E59" s="26" t="s">
        <v>326</v>
      </c>
    </row>
    <row r="60">
      <c r="A60" s="26" t="s">
        <v>19</v>
      </c>
      <c r="B60" s="26" t="s">
        <v>117</v>
      </c>
      <c r="C60" s="26" t="s">
        <v>296</v>
      </c>
      <c r="D60" s="26" t="s">
        <v>226</v>
      </c>
      <c r="E60" s="26" t="s">
        <v>327</v>
      </c>
    </row>
    <row r="61">
      <c r="A61" s="26" t="s">
        <v>19</v>
      </c>
      <c r="B61" s="26" t="s">
        <v>123</v>
      </c>
      <c r="C61" s="26" t="s">
        <v>296</v>
      </c>
      <c r="D61" s="26" t="s">
        <v>226</v>
      </c>
      <c r="E61" s="26" t="s">
        <v>328</v>
      </c>
    </row>
    <row r="62">
      <c r="A62" s="26" t="s">
        <v>19</v>
      </c>
      <c r="B62" s="26" t="s">
        <v>125</v>
      </c>
      <c r="C62" s="26" t="s">
        <v>296</v>
      </c>
      <c r="D62" s="26" t="s">
        <v>285</v>
      </c>
      <c r="E62" s="26" t="s">
        <v>329</v>
      </c>
    </row>
    <row r="63">
      <c r="A63" s="26" t="s">
        <v>19</v>
      </c>
      <c r="B63" s="26" t="s">
        <v>126</v>
      </c>
      <c r="C63" s="26" t="s">
        <v>296</v>
      </c>
      <c r="D63" s="26" t="s">
        <v>330</v>
      </c>
      <c r="E63" s="26" t="s">
        <v>331</v>
      </c>
    </row>
    <row r="64">
      <c r="A64" s="26" t="s">
        <v>25</v>
      </c>
      <c r="B64" s="26" t="s">
        <v>127</v>
      </c>
      <c r="C64" s="26" t="s">
        <v>296</v>
      </c>
      <c r="D64" s="26" t="s">
        <v>297</v>
      </c>
      <c r="E64" s="26" t="s">
        <v>332</v>
      </c>
    </row>
    <row r="65">
      <c r="A65" s="26" t="s">
        <v>25</v>
      </c>
      <c r="B65" s="26" t="s">
        <v>128</v>
      </c>
      <c r="C65" s="26" t="s">
        <v>296</v>
      </c>
      <c r="D65" s="26" t="s">
        <v>333</v>
      </c>
      <c r="E65" s="26" t="s">
        <v>334</v>
      </c>
    </row>
    <row r="66">
      <c r="A66" s="26" t="s">
        <v>25</v>
      </c>
      <c r="B66" s="26" t="s">
        <v>129</v>
      </c>
      <c r="C66" s="26" t="s">
        <v>296</v>
      </c>
      <c r="D66" s="26" t="s">
        <v>226</v>
      </c>
      <c r="E66" s="26" t="s">
        <v>335</v>
      </c>
    </row>
    <row r="67">
      <c r="A67" s="26" t="s">
        <v>25</v>
      </c>
      <c r="B67" s="26" t="s">
        <v>130</v>
      </c>
      <c r="C67" s="26" t="s">
        <v>296</v>
      </c>
      <c r="D67" s="26" t="s">
        <v>336</v>
      </c>
      <c r="E67" s="26" t="s">
        <v>337</v>
      </c>
    </row>
    <row r="68">
      <c r="A68" s="26" t="s">
        <v>25</v>
      </c>
      <c r="B68" s="26" t="s">
        <v>131</v>
      </c>
      <c r="C68" s="26" t="s">
        <v>296</v>
      </c>
      <c r="D68" s="26" t="s">
        <v>338</v>
      </c>
      <c r="E68" s="26" t="s">
        <v>339</v>
      </c>
    </row>
    <row r="69">
      <c r="A69" s="26" t="s">
        <v>25</v>
      </c>
      <c r="B69" s="26" t="s">
        <v>137</v>
      </c>
      <c r="C69" s="26" t="s">
        <v>296</v>
      </c>
      <c r="D69" s="26" t="s">
        <v>340</v>
      </c>
      <c r="E69" s="26" t="s">
        <v>341</v>
      </c>
    </row>
    <row r="70">
      <c r="A70" s="26" t="s">
        <v>25</v>
      </c>
      <c r="B70" s="26" t="s">
        <v>140</v>
      </c>
      <c r="C70" s="26" t="s">
        <v>296</v>
      </c>
      <c r="D70" s="26" t="s">
        <v>285</v>
      </c>
      <c r="E70" s="26" t="s">
        <v>342</v>
      </c>
    </row>
    <row r="71">
      <c r="A71" s="26" t="s">
        <v>25</v>
      </c>
      <c r="B71" s="26" t="s">
        <v>142</v>
      </c>
      <c r="C71" s="26" t="s">
        <v>296</v>
      </c>
      <c r="D71" s="26" t="s">
        <v>322</v>
      </c>
      <c r="E71" s="26" t="s">
        <v>323</v>
      </c>
    </row>
    <row r="72">
      <c r="A72" s="26" t="s">
        <v>25</v>
      </c>
      <c r="B72" s="26" t="s">
        <v>143</v>
      </c>
      <c r="C72" s="26" t="s">
        <v>296</v>
      </c>
      <c r="D72" s="26" t="s">
        <v>330</v>
      </c>
      <c r="E72" s="26" t="s">
        <v>331</v>
      </c>
    </row>
    <row r="73">
      <c r="A73" s="26" t="s">
        <v>32</v>
      </c>
      <c r="B73" s="26" t="s">
        <v>144</v>
      </c>
      <c r="C73" s="26" t="s">
        <v>296</v>
      </c>
      <c r="D73" s="26" t="s">
        <v>297</v>
      </c>
      <c r="E73" s="26" t="s">
        <v>343</v>
      </c>
    </row>
    <row r="74">
      <c r="A74" s="26" t="s">
        <v>32</v>
      </c>
      <c r="B74" s="26" t="s">
        <v>98</v>
      </c>
      <c r="C74" s="26" t="s">
        <v>296</v>
      </c>
      <c r="D74" s="26" t="s">
        <v>319</v>
      </c>
      <c r="E74" s="26" t="s">
        <v>344</v>
      </c>
    </row>
    <row r="75">
      <c r="A75" s="26" t="s">
        <v>32</v>
      </c>
      <c r="B75" s="26" t="s">
        <v>99</v>
      </c>
      <c r="C75" s="26" t="s">
        <v>296</v>
      </c>
      <c r="D75" s="26" t="s">
        <v>299</v>
      </c>
      <c r="E75" s="26" t="s">
        <v>345</v>
      </c>
    </row>
    <row r="76">
      <c r="A76" s="26" t="s">
        <v>32</v>
      </c>
      <c r="B76" s="26" t="s">
        <v>145</v>
      </c>
      <c r="C76" s="26" t="s">
        <v>296</v>
      </c>
      <c r="D76" s="26" t="s">
        <v>264</v>
      </c>
      <c r="E76" s="26" t="s">
        <v>346</v>
      </c>
    </row>
    <row r="77">
      <c r="A77" s="26" t="s">
        <v>32</v>
      </c>
      <c r="B77" s="26" t="s">
        <v>127</v>
      </c>
      <c r="C77" s="26" t="s">
        <v>296</v>
      </c>
      <c r="D77" s="26" t="s">
        <v>347</v>
      </c>
      <c r="E77" s="26" t="s">
        <v>348</v>
      </c>
    </row>
    <row r="78">
      <c r="A78" s="26" t="s">
        <v>32</v>
      </c>
      <c r="B78" s="26" t="s">
        <v>146</v>
      </c>
      <c r="C78" s="26" t="s">
        <v>296</v>
      </c>
      <c r="D78" s="26" t="s">
        <v>269</v>
      </c>
      <c r="E78" s="26" t="s">
        <v>270</v>
      </c>
    </row>
    <row r="79">
      <c r="A79" s="26" t="s">
        <v>32</v>
      </c>
      <c r="B79" s="26" t="s">
        <v>149</v>
      </c>
      <c r="C79" s="26" t="s">
        <v>296</v>
      </c>
      <c r="D79" s="26" t="s">
        <v>313</v>
      </c>
      <c r="E79" s="26" t="s">
        <v>349</v>
      </c>
    </row>
    <row r="80">
      <c r="A80" s="26" t="s">
        <v>32</v>
      </c>
      <c r="B80" s="26" t="s">
        <v>150</v>
      </c>
      <c r="C80" s="26" t="s">
        <v>296</v>
      </c>
      <c r="D80" s="26" t="s">
        <v>226</v>
      </c>
      <c r="E80" s="26" t="s">
        <v>350</v>
      </c>
    </row>
    <row r="81">
      <c r="A81" s="26" t="s">
        <v>32</v>
      </c>
      <c r="B81" s="26" t="s">
        <v>151</v>
      </c>
      <c r="C81" s="26" t="s">
        <v>296</v>
      </c>
      <c r="D81" s="26" t="s">
        <v>226</v>
      </c>
      <c r="E81" s="26" t="s">
        <v>351</v>
      </c>
    </row>
    <row r="82">
      <c r="A82" s="26" t="s">
        <v>32</v>
      </c>
      <c r="B82" s="26" t="s">
        <v>153</v>
      </c>
      <c r="C82" s="26" t="s">
        <v>296</v>
      </c>
      <c r="D82" s="26" t="s">
        <v>352</v>
      </c>
      <c r="E82" s="26" t="s">
        <v>353</v>
      </c>
    </row>
    <row r="83">
      <c r="A83" s="26" t="s">
        <v>32</v>
      </c>
      <c r="B83" s="26" t="s">
        <v>154</v>
      </c>
      <c r="C83" s="26" t="s">
        <v>296</v>
      </c>
      <c r="D83" s="26" t="s">
        <v>354</v>
      </c>
      <c r="E83" s="26" t="s">
        <v>355</v>
      </c>
    </row>
    <row r="84">
      <c r="A84" s="26" t="s">
        <v>32</v>
      </c>
      <c r="B84" s="26" t="s">
        <v>114</v>
      </c>
      <c r="C84" s="26" t="s">
        <v>296</v>
      </c>
      <c r="D84" s="26" t="s">
        <v>322</v>
      </c>
      <c r="E84" s="26" t="s">
        <v>356</v>
      </c>
    </row>
    <row r="85">
      <c r="A85" s="26" t="s">
        <v>32</v>
      </c>
      <c r="B85" s="26" t="s">
        <v>140</v>
      </c>
      <c r="C85" s="26" t="s">
        <v>296</v>
      </c>
      <c r="D85" s="26" t="s">
        <v>285</v>
      </c>
      <c r="E85" s="26" t="s">
        <v>357</v>
      </c>
    </row>
    <row r="86">
      <c r="A86" s="26" t="s">
        <v>32</v>
      </c>
      <c r="B86" s="26" t="s">
        <v>107</v>
      </c>
      <c r="C86" s="26" t="s">
        <v>296</v>
      </c>
      <c r="D86" s="26" t="s">
        <v>285</v>
      </c>
      <c r="E86" s="26" t="s">
        <v>358</v>
      </c>
    </row>
    <row r="87">
      <c r="A87" s="26" t="s">
        <v>32</v>
      </c>
      <c r="B87" s="26" t="s">
        <v>155</v>
      </c>
      <c r="C87" s="26" t="s">
        <v>296</v>
      </c>
      <c r="D87" s="26" t="s">
        <v>330</v>
      </c>
      <c r="E87" s="26" t="s">
        <v>331</v>
      </c>
    </row>
    <row r="88">
      <c r="A88" s="26" t="s">
        <v>38</v>
      </c>
      <c r="B88" s="26" t="s">
        <v>156</v>
      </c>
      <c r="C88" s="26" t="s">
        <v>296</v>
      </c>
      <c r="D88" s="26" t="s">
        <v>297</v>
      </c>
      <c r="E88" s="26" t="s">
        <v>332</v>
      </c>
    </row>
    <row r="89">
      <c r="A89" s="26" t="s">
        <v>38</v>
      </c>
      <c r="B89" s="26" t="s">
        <v>157</v>
      </c>
      <c r="C89" s="26" t="s">
        <v>296</v>
      </c>
      <c r="D89" s="26" t="s">
        <v>333</v>
      </c>
      <c r="E89" s="26" t="s">
        <v>359</v>
      </c>
    </row>
    <row r="90">
      <c r="A90" s="26" t="s">
        <v>38</v>
      </c>
      <c r="B90" s="26" t="s">
        <v>158</v>
      </c>
      <c r="C90" s="26" t="s">
        <v>296</v>
      </c>
      <c r="D90" s="26" t="s">
        <v>360</v>
      </c>
      <c r="E90" s="26" t="s">
        <v>361</v>
      </c>
    </row>
    <row r="91">
      <c r="A91" s="26" t="s">
        <v>38</v>
      </c>
      <c r="B91" s="26" t="s">
        <v>159</v>
      </c>
      <c r="C91" s="26" t="s">
        <v>296</v>
      </c>
      <c r="D91" s="26" t="s">
        <v>226</v>
      </c>
      <c r="E91" s="26" t="s">
        <v>362</v>
      </c>
    </row>
    <row r="92">
      <c r="A92" s="26" t="s">
        <v>38</v>
      </c>
      <c r="B92" s="26" t="s">
        <v>160</v>
      </c>
      <c r="C92" s="26" t="s">
        <v>296</v>
      </c>
      <c r="D92" s="26" t="s">
        <v>226</v>
      </c>
      <c r="E92" s="26" t="s">
        <v>363</v>
      </c>
    </row>
    <row r="93">
      <c r="A93" s="26" t="s">
        <v>38</v>
      </c>
      <c r="B93" s="26" t="s">
        <v>161</v>
      </c>
      <c r="C93" s="26" t="s">
        <v>296</v>
      </c>
      <c r="D93" s="26" t="s">
        <v>364</v>
      </c>
      <c r="E93" s="26" t="s">
        <v>365</v>
      </c>
    </row>
    <row r="94">
      <c r="A94" s="26" t="s">
        <v>38</v>
      </c>
      <c r="B94" s="26" t="s">
        <v>168</v>
      </c>
      <c r="C94" s="26" t="s">
        <v>296</v>
      </c>
      <c r="D94" s="26" t="s">
        <v>285</v>
      </c>
      <c r="E94" s="26" t="s">
        <v>366</v>
      </c>
    </row>
    <row r="95">
      <c r="A95" s="26" t="s">
        <v>38</v>
      </c>
      <c r="B95" s="26" t="s">
        <v>170</v>
      </c>
      <c r="C95" s="26" t="s">
        <v>296</v>
      </c>
      <c r="D95" s="26" t="s">
        <v>322</v>
      </c>
      <c r="E95" s="26" t="s">
        <v>367</v>
      </c>
    </row>
    <row r="96">
      <c r="A96" s="26" t="s">
        <v>38</v>
      </c>
      <c r="B96" s="26" t="s">
        <v>171</v>
      </c>
      <c r="C96" s="26" t="s">
        <v>296</v>
      </c>
      <c r="D96" s="26" t="s">
        <v>330</v>
      </c>
      <c r="E96" s="26" t="s">
        <v>331</v>
      </c>
    </row>
    <row r="97">
      <c r="A97" s="26" t="s">
        <v>251</v>
      </c>
      <c r="B97" s="26" t="s">
        <v>174</v>
      </c>
      <c r="C97" s="26" t="s">
        <v>296</v>
      </c>
      <c r="D97" s="26" t="s">
        <v>297</v>
      </c>
      <c r="E97" s="26" t="s">
        <v>368</v>
      </c>
    </row>
    <row r="98">
      <c r="A98" s="26" t="s">
        <v>251</v>
      </c>
      <c r="B98" s="26" t="s">
        <v>156</v>
      </c>
      <c r="C98" s="26" t="s">
        <v>296</v>
      </c>
      <c r="D98" s="26" t="s">
        <v>369</v>
      </c>
      <c r="E98" s="26" t="s">
        <v>370</v>
      </c>
    </row>
    <row r="99">
      <c r="A99" s="26" t="s">
        <v>251</v>
      </c>
      <c r="B99" s="26" t="s">
        <v>127</v>
      </c>
      <c r="C99" s="26" t="s">
        <v>296</v>
      </c>
      <c r="D99" s="26" t="s">
        <v>347</v>
      </c>
      <c r="E99" s="26" t="s">
        <v>371</v>
      </c>
    </row>
    <row r="100">
      <c r="A100" s="26" t="s">
        <v>251</v>
      </c>
      <c r="B100" s="26" t="s">
        <v>144</v>
      </c>
      <c r="C100" s="26" t="s">
        <v>296</v>
      </c>
      <c r="D100" s="26" t="s">
        <v>372</v>
      </c>
      <c r="E100" s="26" t="s">
        <v>373</v>
      </c>
    </row>
    <row r="101">
      <c r="A101" s="26" t="s">
        <v>251</v>
      </c>
      <c r="B101" s="26" t="s">
        <v>99</v>
      </c>
      <c r="C101" s="26" t="s">
        <v>296</v>
      </c>
      <c r="D101" s="26" t="s">
        <v>299</v>
      </c>
      <c r="E101" s="26" t="s">
        <v>374</v>
      </c>
    </row>
    <row r="102">
      <c r="A102" s="26" t="s">
        <v>251</v>
      </c>
      <c r="B102" s="26" t="s">
        <v>175</v>
      </c>
      <c r="C102" s="26" t="s">
        <v>296</v>
      </c>
      <c r="D102" s="26" t="s">
        <v>375</v>
      </c>
      <c r="E102" s="26" t="s">
        <v>376</v>
      </c>
    </row>
    <row r="103">
      <c r="A103" s="26" t="s">
        <v>251</v>
      </c>
      <c r="B103" s="26" t="s">
        <v>176</v>
      </c>
      <c r="C103" s="26" t="s">
        <v>296</v>
      </c>
      <c r="D103" s="26" t="s">
        <v>226</v>
      </c>
      <c r="E103" s="26" t="s">
        <v>377</v>
      </c>
    </row>
    <row r="104">
      <c r="A104" s="26" t="s">
        <v>251</v>
      </c>
      <c r="B104" s="26" t="s">
        <v>177</v>
      </c>
      <c r="C104" s="26" t="s">
        <v>296</v>
      </c>
      <c r="D104" s="26" t="s">
        <v>322</v>
      </c>
      <c r="E104" s="26" t="s">
        <v>378</v>
      </c>
    </row>
    <row r="105">
      <c r="A105" s="26" t="s">
        <v>251</v>
      </c>
      <c r="B105" s="26" t="s">
        <v>178</v>
      </c>
      <c r="C105" s="26" t="s">
        <v>296</v>
      </c>
      <c r="D105" s="26" t="s">
        <v>330</v>
      </c>
      <c r="E105" s="26" t="s">
        <v>331</v>
      </c>
    </row>
    <row r="106">
      <c r="A106" s="26" t="s">
        <v>253</v>
      </c>
      <c r="B106" s="26" t="s">
        <v>179</v>
      </c>
      <c r="C106" s="26" t="s">
        <v>296</v>
      </c>
      <c r="D106" s="26" t="s">
        <v>297</v>
      </c>
      <c r="E106" s="26" t="s">
        <v>379</v>
      </c>
    </row>
    <row r="107">
      <c r="A107" s="26" t="s">
        <v>253</v>
      </c>
      <c r="B107" s="26" t="s">
        <v>156</v>
      </c>
      <c r="C107" s="26" t="s">
        <v>296</v>
      </c>
      <c r="D107" s="26" t="s">
        <v>369</v>
      </c>
      <c r="E107" s="26" t="s">
        <v>380</v>
      </c>
    </row>
    <row r="108">
      <c r="A108" s="26" t="s">
        <v>253</v>
      </c>
      <c r="B108" s="26" t="s">
        <v>180</v>
      </c>
      <c r="C108" s="26" t="s">
        <v>296</v>
      </c>
      <c r="D108" s="26" t="s">
        <v>322</v>
      </c>
      <c r="E108" s="26" t="s">
        <v>381</v>
      </c>
    </row>
    <row r="109">
      <c r="A109" s="26" t="s">
        <v>253</v>
      </c>
      <c r="B109" s="26" t="s">
        <v>181</v>
      </c>
      <c r="C109" s="26" t="s">
        <v>296</v>
      </c>
      <c r="D109" s="26" t="s">
        <v>382</v>
      </c>
      <c r="E109" s="26" t="s">
        <v>383</v>
      </c>
    </row>
    <row r="110">
      <c r="A110" s="26" t="s">
        <v>253</v>
      </c>
      <c r="B110" s="26" t="s">
        <v>111</v>
      </c>
      <c r="C110" s="26" t="s">
        <v>296</v>
      </c>
      <c r="D110" s="26" t="s">
        <v>285</v>
      </c>
      <c r="E110" s="26" t="s">
        <v>384</v>
      </c>
    </row>
    <row r="111">
      <c r="A111" s="26" t="s">
        <v>253</v>
      </c>
      <c r="B111" s="26" t="s">
        <v>182</v>
      </c>
      <c r="C111" s="26" t="s">
        <v>296</v>
      </c>
      <c r="D111" s="26" t="s">
        <v>385</v>
      </c>
      <c r="E111" s="26" t="s">
        <v>386</v>
      </c>
    </row>
    <row r="112">
      <c r="A112" s="26" t="s">
        <v>253</v>
      </c>
      <c r="B112" s="26" t="s">
        <v>183</v>
      </c>
      <c r="C112" s="26" t="s">
        <v>296</v>
      </c>
      <c r="D112" s="26" t="s">
        <v>385</v>
      </c>
      <c r="E112" s="26" t="s">
        <v>386</v>
      </c>
    </row>
    <row r="113">
      <c r="A113" s="26" t="s">
        <v>253</v>
      </c>
      <c r="B113" s="26" t="s">
        <v>184</v>
      </c>
      <c r="C113" s="26" t="s">
        <v>296</v>
      </c>
      <c r="D113" s="26" t="s">
        <v>385</v>
      </c>
      <c r="E113" s="26" t="s">
        <v>386</v>
      </c>
    </row>
    <row r="114">
      <c r="A114" s="26" t="s">
        <v>253</v>
      </c>
      <c r="B114" s="26" t="s">
        <v>185</v>
      </c>
      <c r="C114" s="26" t="s">
        <v>296</v>
      </c>
      <c r="D114" s="26" t="s">
        <v>385</v>
      </c>
      <c r="E114" s="26" t="s">
        <v>386</v>
      </c>
    </row>
    <row r="115">
      <c r="A115" s="26" t="s">
        <v>253</v>
      </c>
      <c r="B115" s="26" t="s">
        <v>186</v>
      </c>
      <c r="C115" s="26" t="s">
        <v>296</v>
      </c>
      <c r="D115" s="26" t="s">
        <v>385</v>
      </c>
      <c r="E115" s="26" t="s">
        <v>386</v>
      </c>
    </row>
    <row r="116">
      <c r="A116" s="26" t="s">
        <v>253</v>
      </c>
      <c r="B116" s="26" t="s">
        <v>187</v>
      </c>
      <c r="C116" s="26" t="s">
        <v>296</v>
      </c>
      <c r="D116" s="26" t="s">
        <v>385</v>
      </c>
      <c r="E116" s="26" t="s">
        <v>386</v>
      </c>
    </row>
    <row r="117">
      <c r="A117" s="26" t="s">
        <v>253</v>
      </c>
      <c r="B117" s="26" t="s">
        <v>188</v>
      </c>
      <c r="C117" s="26" t="s">
        <v>296</v>
      </c>
      <c r="D117" s="26" t="s">
        <v>226</v>
      </c>
      <c r="E117" s="26" t="s">
        <v>387</v>
      </c>
    </row>
    <row r="118">
      <c r="A118" s="26" t="s">
        <v>253</v>
      </c>
      <c r="B118" s="26" t="s">
        <v>189</v>
      </c>
      <c r="C118" s="26" t="s">
        <v>296</v>
      </c>
      <c r="D118" s="26" t="s">
        <v>388</v>
      </c>
      <c r="E118" s="26" t="s">
        <v>389</v>
      </c>
    </row>
    <row r="119">
      <c r="A119" s="26" t="s">
        <v>253</v>
      </c>
      <c r="B119" s="26" t="s">
        <v>190</v>
      </c>
      <c r="C119" s="26" t="s">
        <v>296</v>
      </c>
      <c r="D119" s="26" t="s">
        <v>226</v>
      </c>
      <c r="E119" s="26" t="s">
        <v>390</v>
      </c>
    </row>
    <row r="120">
      <c r="A120" s="26" t="s">
        <v>253</v>
      </c>
      <c r="B120" s="26" t="s">
        <v>191</v>
      </c>
      <c r="C120" s="26" t="s">
        <v>296</v>
      </c>
      <c r="D120" s="26" t="s">
        <v>330</v>
      </c>
      <c r="E120" s="26" t="s">
        <v>331</v>
      </c>
    </row>
    <row r="121">
      <c r="A121" s="26" t="s">
        <v>256</v>
      </c>
      <c r="B121" s="26" t="s">
        <v>192</v>
      </c>
      <c r="C121" s="26" t="s">
        <v>296</v>
      </c>
      <c r="D121" s="26" t="s">
        <v>297</v>
      </c>
      <c r="E121" s="26" t="s">
        <v>391</v>
      </c>
    </row>
    <row r="122">
      <c r="A122" s="26" t="s">
        <v>256</v>
      </c>
      <c r="B122" s="26" t="s">
        <v>114</v>
      </c>
      <c r="C122" s="26" t="s">
        <v>296</v>
      </c>
      <c r="D122" s="26" t="s">
        <v>322</v>
      </c>
      <c r="E122" s="26" t="s">
        <v>323</v>
      </c>
    </row>
    <row r="123">
      <c r="A123" s="26" t="s">
        <v>256</v>
      </c>
      <c r="B123" s="26" t="s">
        <v>193</v>
      </c>
      <c r="C123" s="26" t="s">
        <v>296</v>
      </c>
      <c r="D123" s="26" t="s">
        <v>392</v>
      </c>
      <c r="E123" s="26" t="s">
        <v>393</v>
      </c>
    </row>
    <row r="124">
      <c r="A124" s="26" t="s">
        <v>256</v>
      </c>
      <c r="B124" s="26" t="s">
        <v>194</v>
      </c>
      <c r="C124" s="26" t="s">
        <v>296</v>
      </c>
      <c r="D124" s="26" t="s">
        <v>394</v>
      </c>
      <c r="E124" s="26" t="s">
        <v>395</v>
      </c>
    </row>
    <row r="125">
      <c r="A125" s="26" t="s">
        <v>256</v>
      </c>
      <c r="B125" s="26" t="s">
        <v>196</v>
      </c>
      <c r="C125" s="26" t="s">
        <v>296</v>
      </c>
      <c r="D125" s="26" t="s">
        <v>226</v>
      </c>
      <c r="E125" s="26" t="s">
        <v>396</v>
      </c>
    </row>
    <row r="126">
      <c r="A126" s="26" t="s">
        <v>256</v>
      </c>
      <c r="B126" s="26" t="s">
        <v>197</v>
      </c>
      <c r="C126" s="26" t="s">
        <v>296</v>
      </c>
      <c r="D126" s="26" t="s">
        <v>226</v>
      </c>
      <c r="E126" s="26" t="s">
        <v>397</v>
      </c>
    </row>
    <row r="127">
      <c r="A127" s="26" t="s">
        <v>256</v>
      </c>
      <c r="B127" s="26" t="s">
        <v>188</v>
      </c>
      <c r="C127" s="26" t="s">
        <v>296</v>
      </c>
      <c r="D127" s="26" t="s">
        <v>226</v>
      </c>
      <c r="E127" s="26" t="s">
        <v>398</v>
      </c>
    </row>
    <row r="128">
      <c r="A128" s="26" t="s">
        <v>256</v>
      </c>
      <c r="B128" s="26" t="s">
        <v>199</v>
      </c>
      <c r="C128" s="26" t="s">
        <v>296</v>
      </c>
      <c r="D128" s="26" t="s">
        <v>226</v>
      </c>
      <c r="E128" s="26" t="s">
        <v>399</v>
      </c>
    </row>
    <row r="129">
      <c r="A129" s="26" t="s">
        <v>256</v>
      </c>
      <c r="B129" s="26" t="s">
        <v>126</v>
      </c>
      <c r="C129" s="26" t="s">
        <v>296</v>
      </c>
      <c r="D129" s="26" t="s">
        <v>330</v>
      </c>
      <c r="E129" s="26" t="s">
        <v>331</v>
      </c>
    </row>
    <row r="130">
      <c r="A130" s="26" t="s">
        <v>258</v>
      </c>
      <c r="B130" s="26" t="s">
        <v>201</v>
      </c>
      <c r="C130" s="26" t="s">
        <v>296</v>
      </c>
      <c r="D130" s="26" t="s">
        <v>297</v>
      </c>
      <c r="E130" s="26" t="s">
        <v>400</v>
      </c>
    </row>
    <row r="131">
      <c r="A131" s="26" t="s">
        <v>258</v>
      </c>
      <c r="B131" s="26" t="s">
        <v>202</v>
      </c>
      <c r="C131" s="26" t="s">
        <v>296</v>
      </c>
      <c r="D131" s="26" t="s">
        <v>401</v>
      </c>
      <c r="E131" s="26" t="s">
        <v>402</v>
      </c>
    </row>
    <row r="132">
      <c r="A132" s="26" t="s">
        <v>258</v>
      </c>
      <c r="B132" s="26" t="s">
        <v>203</v>
      </c>
      <c r="C132" s="26" t="s">
        <v>296</v>
      </c>
      <c r="D132" s="26" t="s">
        <v>403</v>
      </c>
      <c r="E132" s="26" t="s">
        <v>404</v>
      </c>
    </row>
    <row r="133">
      <c r="A133" s="26" t="s">
        <v>258</v>
      </c>
      <c r="B133" s="26" t="s">
        <v>204</v>
      </c>
      <c r="C133" s="26" t="s">
        <v>296</v>
      </c>
      <c r="D133" s="26" t="s">
        <v>405</v>
      </c>
      <c r="E133" s="26" t="s">
        <v>406</v>
      </c>
    </row>
    <row r="134">
      <c r="A134" s="26" t="s">
        <v>258</v>
      </c>
      <c r="B134" s="26" t="s">
        <v>205</v>
      </c>
      <c r="C134" s="26" t="s">
        <v>296</v>
      </c>
      <c r="D134" s="26" t="s">
        <v>407</v>
      </c>
      <c r="E134" s="26" t="s">
        <v>408</v>
      </c>
    </row>
    <row r="135">
      <c r="A135" s="26" t="s">
        <v>258</v>
      </c>
      <c r="B135" s="26" t="s">
        <v>208</v>
      </c>
      <c r="C135" s="26" t="s">
        <v>296</v>
      </c>
      <c r="D135" s="26" t="s">
        <v>226</v>
      </c>
      <c r="E135" s="26" t="s">
        <v>409</v>
      </c>
    </row>
    <row r="136">
      <c r="A136" s="26" t="s">
        <v>258</v>
      </c>
      <c r="B136" s="26" t="s">
        <v>209</v>
      </c>
      <c r="C136" s="26" t="s">
        <v>296</v>
      </c>
      <c r="D136" s="26" t="s">
        <v>264</v>
      </c>
      <c r="E136" s="26" t="s">
        <v>410</v>
      </c>
    </row>
    <row r="137">
      <c r="A137" s="26" t="s">
        <v>258</v>
      </c>
      <c r="B137" s="26" t="s">
        <v>210</v>
      </c>
      <c r="C137" s="26" t="s">
        <v>296</v>
      </c>
      <c r="D137" s="26" t="s">
        <v>226</v>
      </c>
      <c r="E137" s="26" t="s">
        <v>411</v>
      </c>
    </row>
    <row r="138">
      <c r="A138" s="26" t="s">
        <v>258</v>
      </c>
      <c r="B138" s="26" t="s">
        <v>211</v>
      </c>
      <c r="C138" s="26" t="s">
        <v>296</v>
      </c>
      <c r="D138" s="26" t="s">
        <v>264</v>
      </c>
      <c r="E138" s="26" t="s">
        <v>412</v>
      </c>
    </row>
    <row r="139">
      <c r="A139" s="26" t="s">
        <v>258</v>
      </c>
      <c r="B139" s="26" t="s">
        <v>212</v>
      </c>
      <c r="C139" s="26" t="s">
        <v>296</v>
      </c>
      <c r="D139" s="26" t="s">
        <v>330</v>
      </c>
      <c r="E139" s="26" t="s">
        <v>331</v>
      </c>
    </row>
    <row r="140">
      <c r="A140" s="26" t="s">
        <v>260</v>
      </c>
      <c r="B140" s="26" t="s">
        <v>213</v>
      </c>
      <c r="C140" s="26" t="s">
        <v>296</v>
      </c>
      <c r="D140" s="26" t="s">
        <v>297</v>
      </c>
      <c r="E140" s="26" t="s">
        <v>413</v>
      </c>
    </row>
    <row r="141">
      <c r="A141" s="26" t="s">
        <v>260</v>
      </c>
      <c r="B141" s="26" t="s">
        <v>193</v>
      </c>
      <c r="C141" s="26" t="s">
        <v>296</v>
      </c>
      <c r="D141" s="26" t="s">
        <v>392</v>
      </c>
      <c r="E141" s="26" t="s">
        <v>414</v>
      </c>
    </row>
    <row r="142">
      <c r="A142" s="26" t="s">
        <v>260</v>
      </c>
      <c r="B142" s="26" t="s">
        <v>214</v>
      </c>
      <c r="C142" s="26" t="s">
        <v>296</v>
      </c>
      <c r="D142" s="26" t="s">
        <v>415</v>
      </c>
      <c r="E142" s="26" t="s">
        <v>416</v>
      </c>
    </row>
    <row r="143">
      <c r="A143" s="26" t="s">
        <v>260</v>
      </c>
      <c r="B143" s="26" t="s">
        <v>215</v>
      </c>
      <c r="C143" s="26" t="s">
        <v>296</v>
      </c>
      <c r="D143" s="26" t="s">
        <v>264</v>
      </c>
      <c r="E143" s="26" t="s">
        <v>417</v>
      </c>
    </row>
    <row r="144">
      <c r="A144" s="26" t="s">
        <v>260</v>
      </c>
      <c r="B144" s="26" t="s">
        <v>216</v>
      </c>
      <c r="C144" s="26" t="s">
        <v>296</v>
      </c>
      <c r="D144" s="26" t="s">
        <v>418</v>
      </c>
      <c r="E144" s="26" t="s">
        <v>419</v>
      </c>
    </row>
    <row r="145">
      <c r="A145" s="26" t="s">
        <v>260</v>
      </c>
      <c r="B145" s="26" t="s">
        <v>217</v>
      </c>
      <c r="C145" s="26" t="s">
        <v>296</v>
      </c>
      <c r="D145" s="26" t="s">
        <v>226</v>
      </c>
      <c r="E145" s="26" t="s">
        <v>420</v>
      </c>
    </row>
    <row r="146">
      <c r="A146" s="26" t="s">
        <v>260</v>
      </c>
      <c r="B146" s="26" t="s">
        <v>218</v>
      </c>
      <c r="C146" s="26" t="s">
        <v>296</v>
      </c>
      <c r="D146" s="26" t="s">
        <v>226</v>
      </c>
      <c r="E146" s="26" t="s">
        <v>421</v>
      </c>
    </row>
    <row r="147">
      <c r="A147" s="26" t="s">
        <v>260</v>
      </c>
      <c r="B147" s="26" t="s">
        <v>219</v>
      </c>
      <c r="C147" s="26" t="s">
        <v>296</v>
      </c>
      <c r="D147" s="26" t="s">
        <v>422</v>
      </c>
      <c r="E147" s="26" t="s">
        <v>423</v>
      </c>
    </row>
    <row r="148">
      <c r="A148" s="26" t="s">
        <v>260</v>
      </c>
      <c r="B148" s="26" t="s">
        <v>220</v>
      </c>
      <c r="C148" s="26" t="s">
        <v>296</v>
      </c>
      <c r="D148" s="26" t="s">
        <v>226</v>
      </c>
      <c r="E148" s="26" t="s">
        <v>424</v>
      </c>
    </row>
    <row r="149">
      <c r="A149" s="26" t="s">
        <v>260</v>
      </c>
      <c r="B149" s="26" t="s">
        <v>221</v>
      </c>
      <c r="C149" s="26" t="s">
        <v>296</v>
      </c>
      <c r="D149" s="26" t="s">
        <v>322</v>
      </c>
      <c r="E149" s="26" t="s">
        <v>378</v>
      </c>
    </row>
    <row r="150">
      <c r="A150" s="26" t="s">
        <v>260</v>
      </c>
      <c r="B150" s="26" t="s">
        <v>222</v>
      </c>
      <c r="C150" s="26" t="s">
        <v>296</v>
      </c>
      <c r="D150" s="26" t="s">
        <v>425</v>
      </c>
      <c r="E150" s="26" t="s">
        <v>426</v>
      </c>
    </row>
    <row r="151">
      <c r="A151" s="26" t="s">
        <v>260</v>
      </c>
      <c r="B151" s="26" t="s">
        <v>223</v>
      </c>
      <c r="C151" s="26" t="s">
        <v>296</v>
      </c>
      <c r="D151" s="26" t="s">
        <v>226</v>
      </c>
      <c r="E151" s="26" t="s">
        <v>427</v>
      </c>
    </row>
    <row r="152">
      <c r="A152" s="26" t="s">
        <v>260</v>
      </c>
      <c r="B152" s="26" t="s">
        <v>224</v>
      </c>
      <c r="C152" s="26" t="s">
        <v>296</v>
      </c>
      <c r="D152" s="26" t="s">
        <v>428</v>
      </c>
      <c r="E152" s="26" t="s">
        <v>429</v>
      </c>
    </row>
    <row r="153">
      <c r="A153" s="26" t="s">
        <v>260</v>
      </c>
      <c r="B153" s="26" t="s">
        <v>126</v>
      </c>
      <c r="C153" s="26" t="s">
        <v>296</v>
      </c>
      <c r="D153" s="26" t="s">
        <v>330</v>
      </c>
      <c r="E153" s="26" t="s">
        <v>331</v>
      </c>
    </row>
    <row r="154">
      <c r="A154" s="26" t="s">
        <v>256</v>
      </c>
      <c r="B154" s="26" t="s">
        <v>195</v>
      </c>
      <c r="C154" s="26" t="s">
        <v>430</v>
      </c>
      <c r="D154" s="26" t="s">
        <v>279</v>
      </c>
      <c r="E154" s="26" t="s">
        <v>431</v>
      </c>
    </row>
    <row r="155">
      <c r="A155" s="26" t="s">
        <v>32</v>
      </c>
      <c r="B155" s="26" t="s">
        <v>147</v>
      </c>
      <c r="C155" s="26" t="s">
        <v>432</v>
      </c>
      <c r="D155" s="26" t="s">
        <v>433</v>
      </c>
      <c r="E155" s="26" t="s">
        <v>434</v>
      </c>
    </row>
    <row r="156">
      <c r="A156" s="26" t="s">
        <v>32</v>
      </c>
      <c r="B156" s="26" t="s">
        <v>148</v>
      </c>
      <c r="C156" s="26" t="s">
        <v>432</v>
      </c>
      <c r="D156" s="26" t="s">
        <v>433</v>
      </c>
      <c r="E156" s="26" t="s">
        <v>435</v>
      </c>
    </row>
    <row r="157">
      <c r="A157" s="26" t="s">
        <v>25</v>
      </c>
      <c r="B157" s="26" t="s">
        <v>141</v>
      </c>
      <c r="C157" s="26" t="s">
        <v>436</v>
      </c>
      <c r="D157" s="26" t="s">
        <v>437</v>
      </c>
      <c r="E157" s="26" t="s">
        <v>438</v>
      </c>
    </row>
    <row r="158">
      <c r="A158" s="26" t="s">
        <v>38</v>
      </c>
      <c r="B158" s="26" t="s">
        <v>141</v>
      </c>
      <c r="C158" s="26" t="s">
        <v>436</v>
      </c>
      <c r="D158" s="26" t="s">
        <v>437</v>
      </c>
      <c r="E158" s="26" t="s">
        <v>439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18"/>
    <col customWidth="1" min="2" max="2" width="22"/>
    <col customWidth="1" min="3" max="4" width="18"/>
    <col customWidth="1" min="5" max="5" width="24"/>
    <col customWidth="1" min="6" max="6" width="18"/>
    <col customWidth="1" min="7" max="7" width="30"/>
    <col customWidth="1" min="8" max="8" width="20"/>
  </cols>
  <sheetData>
    <row r="1">
      <c r="A1" s="1" t="s">
        <v>440</v>
      </c>
      <c r="B1" s="1"/>
      <c r="C1" s="1"/>
      <c r="D1" s="1"/>
      <c r="E1" s="1"/>
      <c r="F1" s="1"/>
      <c r="G1" s="1"/>
      <c r="H1" s="1"/>
    </row>
    <row r="2">
      <c r="A2" s="1"/>
      <c r="B2" s="1"/>
      <c r="C2" s="1"/>
      <c r="D2" s="1"/>
      <c r="E2" s="1"/>
      <c r="F2" s="1"/>
      <c r="G2" s="1"/>
      <c r="H2" s="1"/>
    </row>
    <row r="3">
      <c r="A3" s="2" t="s">
        <v>441</v>
      </c>
      <c r="B3" s="2"/>
      <c r="C3" s="2"/>
      <c r="D3" s="2"/>
      <c r="E3" s="2"/>
      <c r="F3" s="2"/>
      <c r="G3" s="2"/>
      <c r="H3" s="2"/>
    </row>
    <row r="5">
      <c r="A5" s="9" t="s">
        <v>442</v>
      </c>
      <c r="B5" s="9"/>
      <c r="C5" s="9"/>
      <c r="D5" s="9"/>
      <c r="E5" s="9"/>
      <c r="F5" s="9"/>
      <c r="G5" s="9"/>
      <c r="H5" s="9"/>
    </row>
    <row r="6">
      <c r="A6" s="29" t="s">
        <v>443</v>
      </c>
      <c r="B6" s="29"/>
      <c r="C6" s="29"/>
      <c r="D6" s="29"/>
      <c r="E6" s="29"/>
      <c r="F6" s="29"/>
      <c r="G6" s="29"/>
      <c r="H6" s="29"/>
    </row>
    <row r="7">
      <c r="A7" s="29"/>
      <c r="B7" s="29"/>
      <c r="C7" s="29"/>
      <c r="D7" s="29"/>
      <c r="E7" s="29"/>
      <c r="F7" s="29"/>
      <c r="G7" s="29"/>
      <c r="H7" s="29"/>
    </row>
    <row r="9">
      <c r="A9" s="9" t="s">
        <v>444</v>
      </c>
      <c r="B9" s="9"/>
      <c r="C9" s="9"/>
      <c r="D9" s="9"/>
      <c r="E9" s="9"/>
      <c r="F9" s="9"/>
      <c r="G9" s="9"/>
      <c r="H9" s="9"/>
    </row>
    <row r="10">
      <c r="A10" s="21" t="s">
        <v>445</v>
      </c>
      <c r="B10" s="21" t="s">
        <v>446</v>
      </c>
      <c r="C10" s="21"/>
      <c r="D10" s="21"/>
      <c r="E10" s="21" t="s">
        <v>447</v>
      </c>
      <c r="F10" s="21"/>
      <c r="G10" s="21" t="s">
        <v>448</v>
      </c>
      <c r="H10" s="21" t="s">
        <v>449</v>
      </c>
    </row>
    <row r="11" ht="58" customHeight="1">
      <c r="A11" s="22" t="s">
        <v>450</v>
      </c>
      <c r="B11" s="14" t="s">
        <v>451</v>
      </c>
      <c r="C11" s="14"/>
      <c r="D11" s="14"/>
      <c r="E11" s="14" t="s">
        <v>452</v>
      </c>
      <c r="F11" s="14"/>
      <c r="G11" s="14" t="s">
        <v>453</v>
      </c>
      <c r="H11" s="14" t="s">
        <v>454</v>
      </c>
    </row>
    <row r="12" ht="58" customHeight="1">
      <c r="A12" s="22" t="s">
        <v>455</v>
      </c>
      <c r="B12" s="14" t="s">
        <v>456</v>
      </c>
      <c r="C12" s="14"/>
      <c r="D12" s="14"/>
      <c r="E12" s="14" t="s">
        <v>457</v>
      </c>
      <c r="F12" s="14"/>
      <c r="G12" s="14" t="s">
        <v>458</v>
      </c>
      <c r="H12" s="14" t="s">
        <v>459</v>
      </c>
    </row>
    <row r="13" ht="58" customHeight="1">
      <c r="A13" s="22" t="s">
        <v>460</v>
      </c>
      <c r="B13" s="14" t="s">
        <v>461</v>
      </c>
      <c r="C13" s="14"/>
      <c r="D13" s="14"/>
      <c r="E13" s="14" t="s">
        <v>462</v>
      </c>
      <c r="F13" s="14"/>
      <c r="G13" s="14" t="s">
        <v>458</v>
      </c>
      <c r="H13" s="14" t="s">
        <v>459</v>
      </c>
    </row>
    <row r="14" ht="58" customHeight="1">
      <c r="A14" s="22" t="s">
        <v>463</v>
      </c>
      <c r="B14" s="14" t="s">
        <v>464</v>
      </c>
      <c r="C14" s="14"/>
      <c r="D14" s="14"/>
      <c r="E14" s="14" t="s">
        <v>465</v>
      </c>
      <c r="F14" s="14"/>
      <c r="G14" s="14" t="s">
        <v>38</v>
      </c>
      <c r="H14" s="14" t="s">
        <v>466</v>
      </c>
    </row>
    <row r="15" ht="58" customHeight="1">
      <c r="A15" s="22" t="s">
        <v>467</v>
      </c>
      <c r="B15" s="14" t="s">
        <v>468</v>
      </c>
      <c r="C15" s="14"/>
      <c r="D15" s="14"/>
      <c r="E15" s="14" t="s">
        <v>469</v>
      </c>
      <c r="F15" s="14"/>
      <c r="G15" s="14" t="s">
        <v>38</v>
      </c>
      <c r="H15" s="14" t="s">
        <v>470</v>
      </c>
    </row>
    <row r="16" ht="58" customHeight="1">
      <c r="A16" s="22" t="s">
        <v>471</v>
      </c>
      <c r="B16" s="14" t="s">
        <v>472</v>
      </c>
      <c r="C16" s="14"/>
      <c r="D16" s="14"/>
      <c r="E16" s="14" t="s">
        <v>473</v>
      </c>
      <c r="F16" s="14"/>
      <c r="G16" s="14" t="s">
        <v>474</v>
      </c>
      <c r="H16" s="14" t="s">
        <v>475</v>
      </c>
    </row>
    <row r="18">
      <c r="A18" s="9" t="s">
        <v>476</v>
      </c>
      <c r="B18" s="9"/>
      <c r="C18" s="9"/>
      <c r="D18" s="9"/>
      <c r="E18" s="9"/>
      <c r="F18" s="9"/>
      <c r="G18" s="9"/>
      <c r="H18" s="9"/>
    </row>
    <row r="19">
      <c r="A19" s="30" t="s">
        <v>477</v>
      </c>
      <c r="B19" s="11" t="s">
        <v>478</v>
      </c>
      <c r="C19" s="11"/>
      <c r="D19" s="11"/>
      <c r="E19" s="11"/>
      <c r="F19" s="11"/>
      <c r="G19" s="11"/>
      <c r="H19" s="11"/>
    </row>
    <row r="20">
      <c r="A20" s="30" t="s">
        <v>477</v>
      </c>
      <c r="B20" s="11" t="s">
        <v>479</v>
      </c>
      <c r="C20" s="11"/>
      <c r="D20" s="11"/>
      <c r="E20" s="11"/>
      <c r="F20" s="11"/>
      <c r="G20" s="11"/>
      <c r="H20" s="11"/>
    </row>
    <row r="21">
      <c r="A21" s="30" t="s">
        <v>477</v>
      </c>
      <c r="B21" s="11" t="s">
        <v>480</v>
      </c>
      <c r="C21" s="11"/>
      <c r="D21" s="11"/>
      <c r="E21" s="11"/>
      <c r="F21" s="11"/>
      <c r="G21" s="11"/>
      <c r="H21" s="11"/>
    </row>
    <row r="22">
      <c r="A22" s="30" t="s">
        <v>477</v>
      </c>
      <c r="B22" s="11" t="s">
        <v>481</v>
      </c>
      <c r="C22" s="11"/>
      <c r="D22" s="11"/>
      <c r="E22" s="11"/>
      <c r="F22" s="11"/>
      <c r="G22" s="11"/>
      <c r="H22" s="11"/>
    </row>
    <row r="23">
      <c r="A23" s="30" t="s">
        <v>477</v>
      </c>
      <c r="B23" s="11" t="s">
        <v>482</v>
      </c>
      <c r="C23" s="11"/>
      <c r="D23" s="11"/>
      <c r="E23" s="11"/>
      <c r="F23" s="11"/>
      <c r="G23" s="11"/>
      <c r="H23" s="11"/>
    </row>
  </sheetData>
  <mergeCells count="25">
    <mergeCell ref="A1:H2"/>
    <mergeCell ref="A3:H3"/>
    <mergeCell ref="A5:H5"/>
    <mergeCell ref="A6:H7"/>
    <mergeCell ref="A9:H9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A18:H18"/>
    <mergeCell ref="B19:H19"/>
    <mergeCell ref="B20:H20"/>
    <mergeCell ref="B21:H21"/>
    <mergeCell ref="B22:H22"/>
    <mergeCell ref="B23:H2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5"/>
  <cols>
    <col customWidth="1" min="1" max="1" width="26"/>
    <col customWidth="1" min="2" max="2" width="18"/>
    <col customWidth="1" min="3" max="3" width="38"/>
    <col customWidth="1" min="4" max="4" width="4"/>
    <col customWidth="1" min="5" max="5" width="24"/>
    <col customWidth="1" min="6" max="6" width="18"/>
    <col customWidth="1" min="7" max="7" width="40"/>
  </cols>
  <sheetData>
    <row r="1">
      <c r="A1" s="1" t="s">
        <v>483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2" t="s">
        <v>484</v>
      </c>
      <c r="B3" s="2"/>
      <c r="C3" s="2"/>
      <c r="D3" s="2"/>
      <c r="E3" s="2"/>
      <c r="F3" s="2"/>
      <c r="G3" s="2"/>
    </row>
    <row r="5">
      <c r="A5" s="10" t="s">
        <v>485</v>
      </c>
      <c r="B5" s="10" t="s">
        <v>486</v>
      </c>
      <c r="C5" s="10" t="s">
        <v>487</v>
      </c>
      <c r="E5" s="10" t="s">
        <v>488</v>
      </c>
      <c r="F5" s="10" t="s">
        <v>489</v>
      </c>
      <c r="G5" s="10" t="s">
        <v>490</v>
      </c>
    </row>
    <row r="6">
      <c r="A6" s="11" t="s">
        <v>491</v>
      </c>
      <c r="B6" s="31">
        <f>COUNTIF('1_子语料清单'!$H$2:$H$201,"已纳入")</f>
        <v>0</v>
      </c>
      <c r="C6" s="11" t="s">
        <v>492</v>
      </c>
      <c r="E6" s="11" t="s">
        <v>12</v>
      </c>
      <c r="F6" s="31">
        <f>COUNTIF('1_子语料清单'!$P$2:$P$201,"需补充")</f>
        <v>0</v>
      </c>
      <c r="G6" s="11" t="s">
        <v>493</v>
      </c>
    </row>
    <row r="7">
      <c r="A7" s="11" t="s">
        <v>494</v>
      </c>
      <c r="B7" s="31">
        <f>COUNTIF('2_熟悉材料'!$Q$2:$Q$201,"正常")</f>
        <v>0</v>
      </c>
      <c r="C7" s="11" t="s">
        <v>495</v>
      </c>
      <c r="E7" s="11" t="s">
        <v>19</v>
      </c>
      <c r="F7" s="31">
        <f>COUNTIF('2_熟悉材料'!$Q$2:$Q$201,"需补充")+COUNTIF('2_熟悉材料'!$Q$2:$Q$201,"需复核")</f>
        <v>0</v>
      </c>
      <c r="G7" s="11" t="s">
        <v>496</v>
      </c>
    </row>
    <row r="8">
      <c r="A8" s="11" t="s">
        <v>497</v>
      </c>
      <c r="B8" s="31">
        <f>COUNTIF('3_开放代码登记'!$K$2:$K$201,"使用中")</f>
        <v>0</v>
      </c>
      <c r="C8" s="11" t="s">
        <v>498</v>
      </c>
      <c r="E8" s="11" t="s">
        <v>25</v>
      </c>
      <c r="F8" s="31">
        <f>COUNTIF('3_开放代码登记'!$R$2:$R$201,"需补充")+COUNTIF('3_开放代码登记'!$R$2:$R$201,"需复核")</f>
        <v>0</v>
      </c>
      <c r="G8" s="11" t="s">
        <v>496</v>
      </c>
    </row>
    <row r="9">
      <c r="A9" s="11" t="s">
        <v>499</v>
      </c>
      <c r="B9" s="31">
        <f>COUNTA('4_代码应用'!$A$2:$A$501)</f>
        <v>0</v>
      </c>
      <c r="C9" s="11" t="s">
        <v>500</v>
      </c>
      <c r="E9" s="11" t="s">
        <v>32</v>
      </c>
      <c r="F9" s="31">
        <f>COUNTIF('4_代码应用'!$S$2:$S$501,"需补充")+COUNTIF('4_代码应用'!$S$2:$S$501,"试用正常/偏移量待冻结")</f>
        <v>0</v>
      </c>
      <c r="G9" s="11" t="s">
        <v>501</v>
      </c>
    </row>
    <row r="10">
      <c r="A10" s="11" t="s">
        <v>502</v>
      </c>
      <c r="B10" s="31">
        <f>COUNTIF('5_主题登记'!$C$2:$C$201,"候选")+COUNTIF('5_主题登记'!$C$2:$C$201,"发展中")</f>
        <v>0</v>
      </c>
      <c r="C10" s="11" t="s">
        <v>503</v>
      </c>
      <c r="E10" s="11" t="s">
        <v>38</v>
      </c>
      <c r="F10" s="31">
        <f>COUNTIF('5_主题登记'!$T$2:$T$201,"需补充")+COUNTIF('5_主题登记'!$T$2:$T$201,"需复核")</f>
        <v>0</v>
      </c>
      <c r="G10" s="11" t="s">
        <v>496</v>
      </c>
    </row>
    <row r="11">
      <c r="A11" s="11" t="s">
        <v>504</v>
      </c>
      <c r="B11" s="31">
        <f>COUNTIF('5_主题登记'!$C$2:$C$201,"保留")</f>
        <v>0</v>
      </c>
      <c r="C11" s="11" t="s">
        <v>505</v>
      </c>
      <c r="E11" s="11" t="s">
        <v>251</v>
      </c>
      <c r="F11" s="31">
        <f>COUNTIF('6_主题证据映射'!$J$2:$J$501,"需补充")</f>
        <v>0</v>
      </c>
      <c r="G11" s="11" t="s">
        <v>493</v>
      </c>
    </row>
    <row r="12">
      <c r="A12" s="11" t="s">
        <v>506</v>
      </c>
      <c r="B12" s="31">
        <f>COUNTA('6_主题证据映射'!$A$2:$A$501)</f>
        <v>0</v>
      </c>
      <c r="C12" s="11" t="s">
        <v>507</v>
      </c>
      <c r="E12" s="11" t="s">
        <v>253</v>
      </c>
      <c r="F12" s="31">
        <f>COUNTIF('7_主题复核'!$P$2:$P$201,"需补充")+COUNTIF('7_主题复核'!$P$2:$P$201,"需修订")+COUNTIF('7_主题复核'!$P$2:$P$201,"需处理")</f>
        <v>0</v>
      </c>
      <c r="G12" s="11" t="s">
        <v>508</v>
      </c>
    </row>
    <row r="13">
      <c r="A13" s="11" t="s">
        <v>509</v>
      </c>
      <c r="B13" s="31">
        <f>COUNTIF('6_主题证据映射'!$F$2:$F$501,"反例证据")</f>
        <v>0</v>
      </c>
      <c r="C13" s="11" t="s">
        <v>475</v>
      </c>
      <c r="E13" s="11" t="s">
        <v>256</v>
      </c>
      <c r="F13" s="31">
        <f>COUNTIF('8_反思备忘录'!$M$2:$M$201,"需补充")</f>
        <v>0</v>
      </c>
      <c r="G13" s="11" t="s">
        <v>493</v>
      </c>
    </row>
    <row r="14">
      <c r="A14" s="11" t="s">
        <v>510</v>
      </c>
      <c r="B14" s="31">
        <f>COUNTA('7_主题复核'!$A$2:$A$201)</f>
        <v>0</v>
      </c>
      <c r="C14" s="11" t="s">
        <v>511</v>
      </c>
      <c r="E14" s="11" t="s">
        <v>258</v>
      </c>
      <c r="F14" s="31">
        <f>COUNTIF('9_决策日志'!$M$2:$M$201,"需补充")</f>
        <v>0</v>
      </c>
      <c r="G14" s="11" t="s">
        <v>493</v>
      </c>
    </row>
    <row r="15">
      <c r="A15" s="11" t="s">
        <v>512</v>
      </c>
      <c r="B15" s="31">
        <f>COUNTA('8_反思备忘录'!$A$2:$A$201)</f>
        <v>0</v>
      </c>
      <c r="C15" s="11" t="s">
        <v>513</v>
      </c>
      <c r="E15" s="11" t="s">
        <v>260</v>
      </c>
      <c r="F15" s="31">
        <f>COUNTIF('10_人工智能协助日志'!$O$2:$O$201,"需补充")+COUNTIF('10_人工智能协助日志'!$O$2:$O$201,"禁止使用")</f>
        <v>0</v>
      </c>
      <c r="G15" s="11" t="s">
        <v>514</v>
      </c>
    </row>
    <row r="16">
      <c r="A16" s="11" t="s">
        <v>515</v>
      </c>
      <c r="B16" s="31">
        <f>COUNTIF('9_决策日志'!$E$2:$E$201,"未关闭")</f>
        <v>0</v>
      </c>
      <c r="C16" s="11" t="s">
        <v>516</v>
      </c>
    </row>
    <row r="18">
      <c r="A18" s="9" t="s">
        <v>517</v>
      </c>
      <c r="B18" s="9"/>
      <c r="C18" s="9"/>
      <c r="D18" s="9"/>
      <c r="E18" s="9"/>
      <c r="F18" s="9"/>
      <c r="G18" s="9"/>
    </row>
    <row r="19">
      <c r="A19" s="32" t="str">
        <f>IF(B6=0,"未开始：尚未纳入试编码子语料",IF(SUM(F6:F15)&gt;0,"试编码进行中：存在缺项或正式冻结项",IF(B11=0,"记录完整，但尚未形成保留主题","试编码记录完整；仍需团队冻结方法后才能正式执行")))</f>
        <v>未开始：尚未纳入试编码子语料</v>
      </c>
      <c r="B19" s="32"/>
      <c r="C19" s="32"/>
      <c r="D19" s="32"/>
      <c r="E19" s="32"/>
      <c r="F19" s="32"/>
      <c r="G19" s="32"/>
    </row>
    <row r="20">
      <c r="A20" s="32"/>
      <c r="B20" s="32"/>
      <c r="C20" s="32"/>
      <c r="D20" s="32"/>
      <c r="E20" s="32"/>
      <c r="F20" s="32"/>
      <c r="G20" s="32"/>
    </row>
    <row r="21">
      <c r="A21" s="32"/>
      <c r="B21" s="32"/>
      <c r="C21" s="32"/>
      <c r="D21" s="32"/>
      <c r="E21" s="32"/>
      <c r="F21" s="32"/>
      <c r="G21" s="32"/>
    </row>
    <row r="23">
      <c r="A23" s="9" t="s">
        <v>518</v>
      </c>
      <c r="B23" s="9"/>
      <c r="C23" s="9"/>
      <c r="D23" s="9"/>
      <c r="E23" s="9"/>
      <c r="F23" s="9"/>
      <c r="G23" s="9"/>
    </row>
    <row r="24">
      <c r="A24" s="33">
        <v>1</v>
      </c>
      <c r="B24" s="11" t="s">
        <v>519</v>
      </c>
      <c r="C24" s="11"/>
      <c r="D24" s="11"/>
      <c r="E24" s="11"/>
      <c r="F24" s="11"/>
      <c r="G24" s="11"/>
    </row>
    <row r="25">
      <c r="A25" s="33">
        <v>2</v>
      </c>
      <c r="B25" s="11" t="s">
        <v>520</v>
      </c>
      <c r="C25" s="11"/>
      <c r="D25" s="11"/>
      <c r="E25" s="11"/>
      <c r="F25" s="11"/>
      <c r="G25" s="11"/>
    </row>
    <row r="26">
      <c r="A26" s="33">
        <v>3</v>
      </c>
      <c r="B26" s="11" t="s">
        <v>521</v>
      </c>
      <c r="C26" s="11"/>
      <c r="D26" s="11"/>
      <c r="E26" s="11"/>
      <c r="F26" s="11"/>
      <c r="G26" s="11"/>
    </row>
    <row r="27">
      <c r="A27" s="33">
        <v>4</v>
      </c>
      <c r="B27" s="11" t="s">
        <v>522</v>
      </c>
      <c r="C27" s="11"/>
      <c r="D27" s="11"/>
      <c r="E27" s="11"/>
      <c r="F27" s="11"/>
      <c r="G27" s="11"/>
    </row>
    <row r="28">
      <c r="A28" s="33">
        <v>5</v>
      </c>
      <c r="B28" s="11" t="s">
        <v>523</v>
      </c>
      <c r="C28" s="11"/>
      <c r="D28" s="11"/>
      <c r="E28" s="11"/>
      <c r="F28" s="11"/>
      <c r="G28" s="11"/>
    </row>
  </sheetData>
  <mergeCells count="10">
    <mergeCell ref="A1:G2"/>
    <mergeCell ref="A3:G3"/>
    <mergeCell ref="A18:G18"/>
    <mergeCell ref="A19:G21"/>
    <mergeCell ref="A23:G23"/>
    <mergeCell ref="B24:G24"/>
    <mergeCell ref="B25:G25"/>
    <mergeCell ref="B26:G26"/>
    <mergeCell ref="B27:G27"/>
    <mergeCell ref="B28:G2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" id="{9739EEF2-DB9E-424D-A1E9-B04571DD7C33}">
            <xm:f>0</xm:f>
            <x14:dxf>
              <font>
                <b/>
                <color rgb="FFB42318"/>
              </font>
              <fill>
                <patternFill patternType="solid">
                  <fgColor rgb="FFFCE8E6"/>
                  <bgColor rgb="FFFCE8E6"/>
                </patternFill>
              </fill>
            </x14:dxf>
          </x14:cfRule>
          <xm:sqref>F6:F15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